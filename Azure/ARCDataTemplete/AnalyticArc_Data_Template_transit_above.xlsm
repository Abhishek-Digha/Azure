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Project\Automation\Automation\ARCDataTemplete\"/>
    </mc:Choice>
  </mc:AlternateContent>
  <xr:revisionPtr revIDLastSave="0" documentId="10_ncr:100000_{8EA6D0DA-7246-489C-936D-A0643FBA57C0}" xr6:coauthVersionLast="31" xr6:coauthVersionMax="31" xr10:uidLastSave="{00000000-0000-0000-0000-000000000000}"/>
  <workbookProtection workbookAlgorithmName="SHA-512" workbookHashValue="fYalozFqvjMJdyPQZOPZ2WxAjhxkGlrmspogQ2IxxjR0X+zpsLyPAb1DiFg/vdi9vWyO+mALkCZhen7EgkpfWg==" workbookSaltValue="QgYXP3lnm2mLSQFMnWbMTw==" workbookSpinCount="100000" lockStructure="1"/>
  <bookViews>
    <workbookView xWindow="0" yWindow="0" windowWidth="12645" windowHeight="8160" firstSheet="9" activeTab="14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5" r:id="rId14"/>
    <sheet name="AnalyticsWater meter via upload" sheetId="26" r:id="rId15"/>
    <sheet name="base_summary" sheetId="3" state="hidden" r:id="rId16"/>
  </sheets>
  <definedNames>
    <definedName name="columnDelete" localSheetId="14">#REF!</definedName>
    <definedName name="columnDelete" localSheetId="13">#REF!</definedName>
    <definedName name="columnDelete">#REF!</definedName>
    <definedName name="columnDeleteVOC" localSheetId="14">#REF!</definedName>
    <definedName name="columnDeleteVOC" localSheetId="13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4">#REF!</definedName>
    <definedName name="DataCopy" localSheetId="13">#REF!</definedName>
    <definedName name="DataCopy">#REF!</definedName>
    <definedName name="DataCopyVOC" localSheetId="14">#REF!</definedName>
    <definedName name="DataCopyVOC" localSheetId="13">#REF!</definedName>
    <definedName name="DataCopyVOC">#REF!</definedName>
    <definedName name="Dates" localSheetId="14">#REF!</definedName>
    <definedName name="Dates" localSheetId="13">#REF!</definedName>
    <definedName name="Dates">#REF!</definedName>
    <definedName name="DatesVOC" localSheetId="14">#REF!</definedName>
    <definedName name="DatesVOC" localSheetId="13">#REF!</definedName>
    <definedName name="DatesVOC">#REF!</definedName>
    <definedName name="DelRwNmEnd" localSheetId="14">#REF!</definedName>
    <definedName name="DelRwNmEnd" localSheetId="13">#REF!</definedName>
    <definedName name="DelRwNmEnd">#REF!</definedName>
    <definedName name="DelRwNmEndVOC" localSheetId="14">#REF!</definedName>
    <definedName name="DelRwNmEndVOC" localSheetId="13">#REF!</definedName>
    <definedName name="DelRwNmEndVOC">#REF!</definedName>
    <definedName name="DelRwNmStart" localSheetId="14">#REF!</definedName>
    <definedName name="DelRwNmStart" localSheetId="13">#REF!</definedName>
    <definedName name="DelRwNmStart">#REF!</definedName>
    <definedName name="DelRwNmStartVOC" localSheetId="14">#REF!</definedName>
    <definedName name="DelRwNmStartVOC" localSheetId="13">#REF!</definedName>
    <definedName name="DelRwNmStartVOC">#REF!</definedName>
    <definedName name="elecName" localSheetId="13">'Energy Meter via upload'!$G$15:$G$19</definedName>
    <definedName name="elecName">base_e!$G$15:$G$19</definedName>
    <definedName name="ElectricityDrp" localSheetId="13">'Energy Meter via upload'!$J$9:$J$10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4">base_f!#REF!</definedName>
    <definedName name="fuelname" localSheetId="13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4">#REF!</definedName>
    <definedName name="meterstypes" localSheetId="13">#REF!</definedName>
    <definedName name="meterstypes">#REF!</definedName>
    <definedName name="meterstypesAI" localSheetId="14">#REF!</definedName>
    <definedName name="meterstypesAI" localSheetId="13">#REF!</definedName>
    <definedName name="meterstypesAI">#REF!</definedName>
    <definedName name="MeterTypes">Setup!$L$275:$L$301</definedName>
    <definedName name="myCategoryH">base_f!$G$19:$G$36</definedName>
    <definedName name="myitem" localSheetId="14">OFFSET(myItemList,0,0,COUNTA(myItemList),1)</definedName>
    <definedName name="myitem" localSheetId="13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Stream'!$I$12:$I$14</definedName>
    <definedName name="Other_Fuels_Drp">base_f!$V$10</definedName>
    <definedName name="Period__Start_Date" localSheetId="14">COUNTIF('AnalyticsWater meter via upload'!$B:$B,'AnalyticsWater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4">#REF!</definedName>
    <definedName name="RangeCount" localSheetId="13">#REF!</definedName>
    <definedName name="RangeCount">#REF!</definedName>
    <definedName name="RangeCountVOC" localSheetId="14">#REF!</definedName>
    <definedName name="RangeCountVOC" localSheetId="13">#REF!</definedName>
    <definedName name="RangeCountVOC">#REF!</definedName>
    <definedName name="ReadingTable" localSheetId="14">#REF!</definedName>
    <definedName name="ReadingTable" localSheetId="13">#REF!</definedName>
    <definedName name="ReadingTable">#REF!</definedName>
    <definedName name="ReadingTableVOC" localSheetId="14">#REF!</definedName>
    <definedName name="ReadingTableVOC" localSheetId="13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4">#REF!</definedName>
    <definedName name="sumAnchor" localSheetId="13">#REF!</definedName>
    <definedName name="sumAnchor">#REF!</definedName>
    <definedName name="sumAnchorVOC" localSheetId="14">#REF!</definedName>
    <definedName name="sumAnchorVOC" localSheetId="13">#REF!</definedName>
    <definedName name="sumAnchorVOC">#REF!</definedName>
    <definedName name="sumDate" localSheetId="14">#REF!</definedName>
    <definedName name="sumDate" localSheetId="13">#REF!</definedName>
    <definedName name="sumDate">#REF!</definedName>
    <definedName name="sumDateVOC" localSheetId="14">#REF!</definedName>
    <definedName name="sumDateVOC" localSheetId="13">#REF!</definedName>
    <definedName name="sumDateVOC">#REF!</definedName>
    <definedName name="UniqueDate" localSheetId="14">#REF!</definedName>
    <definedName name="UniqueDate" localSheetId="13">#REF!</definedName>
    <definedName name="UniqueDate">#REF!</definedName>
    <definedName name="UniqueDateVOC" localSheetId="14">#REF!</definedName>
    <definedName name="UniqueDateVOC" localSheetId="13">#REF!</definedName>
    <definedName name="UniqueDateVOC">#REF!</definedName>
    <definedName name="UniqueLoc" localSheetId="14">#REF!</definedName>
    <definedName name="UniqueLoc" localSheetId="13">#REF!</definedName>
    <definedName name="UniqueLoc">#REF!</definedName>
    <definedName name="UniqueLocVOC" localSheetId="14">#REF!</definedName>
    <definedName name="UniqueLocVOC" localSheetId="13">#REF!</definedName>
    <definedName name="UniqueLocVOC">#REF!</definedName>
    <definedName name="Units">Setup!$M$5:$M$6</definedName>
    <definedName name="UserFormat" localSheetId="14">#REF!</definedName>
    <definedName name="UserFormat" localSheetId="13">#REF!</definedName>
    <definedName name="UserFormat">#REF!</definedName>
    <definedName name="validUnits">Setup!$L$304:$L$322</definedName>
    <definedName name="water_meter_type" localSheetId="14">'AnalyticsWater meter via upload'!$H$27:$I$39</definedName>
    <definedName name="water_meter_type">base_w!$H$27:$I$39</definedName>
    <definedName name="water_type" localSheetId="14">'AnalyticsWater meter via upload'!$H$27:$I$39</definedName>
    <definedName name="water_type">base_w!$H$27:$I$39</definedName>
    <definedName name="water_units" localSheetId="14">'AnalyticsWater meter via upload'!$H$15:$H$23</definedName>
    <definedName name="water_units">base_w!$H$15:$H$23</definedName>
    <definedName name="WaterDrp" localSheetId="14">'AnalyticsWater meter via upload'!$I$9:$I$11</definedName>
    <definedName name="WaterDrp">base_w!$I$9:$I$11</definedName>
    <definedName name="waterType" localSheetId="14">'AnalyticsWater meter via upload'!$H$27:$H$39</definedName>
    <definedName name="waterType">base_w!$H$27:$H$39</definedName>
    <definedName name="waterUnits" localSheetId="14">'AnalyticsWater meter via upload'!$J$10:$J$14</definedName>
    <definedName name="waterUnits">base_w!$J$10:$J$14</definedName>
    <definedName name="watUn" localSheetId="14">'AnalyticsWater meter via upload'!$H$15:$H$23</definedName>
    <definedName name="watUn">base_w!$H$15:$H$23</definedName>
    <definedName name="watUni" localSheetId="14">'AnalyticsWater meter via upload'!$H$15:$H$29</definedName>
    <definedName name="watUni">base_w!$H$15:$H$29</definedName>
    <definedName name="waUn">'Waste Stream'!$I$12:$I$18</definedName>
    <definedName name="waunit">'Waste Stream'!$J$9:$J$11</definedName>
    <definedName name="Wood">base_f!$H$16:$H$27</definedName>
    <definedName name="woods">base_f!$H$16:$H$22</definedName>
    <definedName name="woodunit">base_f!$H$16:$H$22</definedName>
    <definedName name="zep" localSheetId="14">'AnalyticsWater meter via upload'!$J$8</definedName>
    <definedName name="zep">base_w!$J$8</definedName>
  </definedNames>
  <calcPr calcId="179017"/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D5" i="23" l="1"/>
  <c r="L20" i="1" l="1"/>
  <c r="L18" i="1"/>
  <c r="L17" i="1"/>
  <c r="F21" i="1" l="1"/>
  <c r="D6" i="22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<sst xmlns="http://schemas.openxmlformats.org/spreadsheetml/2006/main" count="1053" uniqueCount="678">
  <si>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</si>
  <si>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</si>
  <si>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</si>
  <si>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</si>
  <si>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</si>
  <si>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</si>
  <si>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</si>
  <si>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</si>
  <si>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</si>
  <si>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</si>
  <si>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</si>
  <si>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</si>
  <si>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</si>
  <si>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</si>
  <si>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</si>
  <si>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</si>
  <si>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</si>
  <si>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</si>
  <si>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</si>
  <si>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</si>
  <si>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</si>
  <si>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</si>
  <si>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</si>
  <si>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</si>
  <si>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</si>
  <si>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</si>
  <si>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</si>
  <si>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</si>
  <si>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</si>
  <si>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</si>
  <si>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</si>
  <si>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</si>
  <si>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</si>
  <si>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</si>
  <si>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</si>
  <si>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</si>
  <si>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</si>
  <si>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</si>
  <si>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</si>
  <si>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</si>
  <si>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</si>
  <si>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</si>
  <si>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</si>
  <si>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</si>
  <si>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</si>
  <si>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</si>
  <si>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</si>
  <si>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</si>
  <si>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</si>
  <si>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</si>
  <si>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</si>
  <si>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</si>
  <si>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</si>
  <si>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</si>
  <si>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</si>
  <si>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</si>
  <si>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</si>
  <si>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</si>
  <si>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</si>
  <si>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</si>
  <si>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</si>
  <si>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</si>
  <si>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</si>
  <si>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</si>
  <si>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</si>
  <si>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</si>
  <si>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</si>
  <si>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</si>
  <si>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</si>
  <si>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</si>
  <si>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</si>
  <si>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</si>
  <si>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</si>
  <si>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</si>
  <si>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</si>
  <si>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</si>
  <si>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</si>
  <si>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</si>
  <si>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</si>
  <si>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</si>
  <si>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</si>
  <si>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</si>
  <si>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</si>
  <si>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</si>
  <si>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</si>
  <si>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</si>
  <si>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</si>
  <si>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</si>
  <si>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</si>
  <si>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</si>
  <si>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</si>
  <si>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</si>
  <si>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</si>
  <si>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</si>
  <si>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</si>
  <si>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</si>
  <si>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</si>
  <si>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</si>
  <si>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</si>
  <si>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</si>
  <si>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</si>
  <si>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</si>
  <si>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</si>
  <si>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</si>
  <si>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</si>
  <si>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</si>
  <si>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</si>
  <si>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</si>
  <si>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</si>
  <si>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</si>
  <si>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</si>
  <si>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</si>
  <si>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</si>
  <si>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</si>
  <si>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</si>
  <si>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</si>
  <si>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</si>
  <si>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</si>
  <si>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</si>
  <si>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</si>
  <si>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</si>
  <si>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</si>
  <si>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</si>
  <si>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</si>
  <si>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</si>
  <si>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</si>
  <si>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</si>
  <si>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</si>
  <si>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</si>
  <si>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</si>
  <si>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</si>
  <si>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</si>
  <si>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</si>
  <si>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</si>
  <si>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</si>
  <si>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</si>
  <si>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</si>
  <si>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</si>
  <si>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</si>
  <si>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</si>
  <si>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</si>
  <si>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</si>
  <si>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</si>
  <si>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</si>
  <si>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</si>
  <si>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</si>
  <si>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</si>
  <si>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</si>
  <si>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</si>
  <si>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</si>
  <si>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</si>
  <si>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</si>
  <si>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</si>
  <si>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</si>
  <si>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</si>
  <si>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</si>
  <si>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</si>
  <si>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</si>
  <si>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</si>
  <si>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</si>
  <si>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</si>
  <si>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</si>
  <si>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</si>
  <si>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</si>
  <si>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</si>
  <si>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</si>
  <si>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</si>
  <si>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</si>
  <si>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</si>
  <si>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</si>
  <si>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</si>
  <si>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</si>
  <si>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</si>
  <si>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</si>
  <si>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</si>
  <si>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</si>
  <si>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</si>
  <si>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</si>
  <si>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</si>
  <si>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</si>
  <si>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</si>
  <si>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</si>
  <si>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</si>
  <si>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</si>
  <si>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</si>
  <si>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</si>
  <si>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</si>
  <si>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</si>
  <si>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</si>
  <si>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</si>
  <si>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</si>
  <si>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</si>
  <si>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</si>
  <si>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</si>
  <si>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</si>
  <si>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</si>
  <si>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</si>
  <si>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</si>
  <si>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</si>
  <si>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</si>
  <si>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</si>
  <si>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</si>
  <si>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</si>
  <si>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</si>
  <si>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</si>
  <si>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</si>
  <si>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</si>
  <si>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</si>
  <si>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</si>
  <si>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</si>
  <si>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</si>
  <si>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</si>
  <si>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</si>
  <si>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</si>
  <si>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</si>
  <si>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</si>
  <si>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</si>
  <si>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</si>
  <si>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</si>
  <si>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</si>
  <si>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</si>
  <si>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</si>
  <si>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</si>
  <si>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</si>
  <si>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</si>
  <si>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</si>
  <si>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</si>
  <si>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</si>
  <si>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</si>
  <si>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</si>
  <si>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</si>
  <si>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</si>
  <si>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</si>
  <si>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</si>
  <si>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</si>
  <si>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</si>
  <si>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</si>
  <si>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</si>
  <si>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</si>
  <si>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</si>
  <si>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</si>
  <si>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</si>
  <si>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</si>
  <si>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</si>
  <si>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</si>
  <si>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</si>
  <si>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</si>
  <si>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</si>
  <si>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</si>
  <si>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</si>
  <si>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</si>
  <si>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</si>
  <si>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</si>
  <si>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</si>
  <si>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</si>
  <si>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</si>
  <si>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</si>
  <si>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</si>
  <si>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</si>
  <si>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</si>
  <si>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</si>
  <si>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</si>
  <si>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</si>
  <si>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</si>
  <si>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</si>
  <si>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</si>
  <si>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</si>
  <si>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</si>
  <si>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</si>
  <si>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</si>
  <si>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</si>
  <si>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</si>
  <si>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</si>
  <si>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</si>
  <si>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</si>
  <si>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</si>
  <si>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</si>
  <si>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</si>
  <si>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</si>
  <si>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</si>
  <si>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</si>
  <si>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</si>
  <si>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</si>
  <si>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</si>
  <si>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</si>
  <si>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</si>
  <si>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</si>
  <si>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</si>
  <si>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</si>
  <si>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</si>
  <si>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</si>
  <si>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</si>
  <si>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</si>
  <si>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</si>
  <si>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</si>
  <si>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</si>
  <si>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</si>
  <si>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</si>
  <si>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</si>
  <si>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</si>
  <si>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</si>
  <si>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</si>
  <si>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</si>
  <si>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</si>
  <si>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</si>
  <si>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</si>
  <si>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</si>
  <si>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</si>
  <si>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</si>
  <si>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</si>
  <si>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</si>
  <si>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</si>
  <si>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</si>
  <si>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</si>
  <si>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</si>
  <si>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</si>
  <si>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</si>
  <si>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</si>
  <si>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</si>
  <si>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</si>
  <si>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</si>
  <si>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</si>
  <si>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</si>
  <si>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</si>
  <si>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</si>
  <si>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</si>
  <si>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</si>
  <si>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</si>
  <si>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</si>
  <si>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</si>
  <si>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</si>
  <si>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</si>
  <si>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</si>
  <si>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</si>
  <si>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</si>
  <si>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</si>
  <si>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</si>
  <si>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</si>
  <si>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</si>
  <si>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</si>
  <si>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</si>
  <si>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</si>
  <si>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</si>
  <si>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</si>
  <si>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</si>
  <si>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</si>
  <si>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</si>
  <si>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</si>
  <si>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</si>
  <si>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</si>
  <si>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</si>
  <si>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</si>
  <si>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</si>
  <si>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</si>
  <si>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</si>
  <si>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</si>
  <si>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</si>
  <si>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</si>
  <si>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</si>
  <si>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</si>
  <si>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</si>
  <si>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</si>
  <si>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</si>
  <si>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</si>
  <si>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</si>
  <si>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</si>
  <si>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</si>
  <si>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</si>
  <si>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</si>
  <si>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</si>
  <si>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</si>
  <si>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</si>
  <si>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</si>
  <si>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</si>
  <si>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</si>
  <si>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</si>
  <si>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</si>
  <si>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</si>
  <si>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</si>
  <si>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</si>
  <si>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</si>
  <si>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</si>
  <si>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</si>
  <si>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</si>
  <si>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</si>
  <si>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</si>
  <si>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</si>
  <si>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</si>
  <si>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</si>
  <si>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</si>
  <si>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</si>
  <si>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</si>
  <si>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</si>
  <si>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</si>
  <si>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</si>
  <si>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</si>
  <si>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</si>
  <si>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</si>
  <si>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</si>
  <si>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</si>
  <si>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</si>
  <si>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</si>
  <si>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</si>
  <si>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</si>
  <si>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</si>
  <si>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</si>
  <si>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</si>
  <si>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</si>
  <si>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</si>
  <si>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</si>
  <si>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</si>
  <si>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</si>
  <si>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</si>
  <si>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</si>
  <si>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</si>
  <si>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</si>
  <si>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</si>
  <si>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</si>
  <si>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</si>
  <si>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</si>
  <si>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</si>
  <si>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</si>
  <si>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</si>
  <si>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</si>
  <si>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</si>
  <si>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</si>
  <si>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</si>
  <si>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</si>
  <si>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</si>
  <si>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</si>
  <si>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</si>
  <si>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</si>
  <si>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</si>
  <si>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</si>
  <si>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</si>
  <si>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</si>
  <si>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</si>
  <si>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</si>
  <si>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</si>
  <si>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</si>
  <si>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</si>
  <si>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</si>
  <si>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</si>
  <si>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</si>
  <si>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</si>
  <si>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</si>
  <si>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</si>
  <si>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</si>
  <si>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</si>
  <si>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</si>
  <si>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</si>
  <si>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</si>
  <si>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</si>
  <si>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</si>
  <si>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</si>
  <si>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</si>
  <si>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</si>
  <si>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</si>
  <si>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</si>
  <si>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</si>
  <si>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</si>
  <si>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</si>
  <si>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</si>
  <si>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</si>
  <si>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</si>
  <si>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</si>
  <si>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</si>
  <si>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</si>
  <si>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</si>
  <si>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</si>
  <si>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</si>
  <si>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</si>
  <si>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</si>
  <si>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</si>
  <si>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</si>
  <si>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</si>
  <si>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</si>
  <si>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</si>
  <si>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</si>
  <si>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</si>
  <si>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</si>
  <si>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</si>
  <si>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</si>
  <si>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</si>
  <si>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</si>
  <si>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</si>
  <si>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</si>
  <si>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</si>
  <si>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</si>
  <si>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</si>
  <si>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</si>
  <si>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</si>
  <si>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</si>
  <si>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</si>
  <si>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</si>
  <si>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</si>
  <si>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</si>
  <si>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</si>
  <si>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</si>
  <si>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</si>
  <si>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</si>
  <si>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</si>
  <si>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</si>
  <si>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</si>
  <si>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</si>
  <si>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</si>
  <si>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</si>
  <si>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</si>
  <si>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</si>
  <si>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</si>
  <si>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</si>
  <si>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</si>
  <si>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</si>
  <si>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</si>
  <si>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</si>
  <si>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</si>
  <si>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</si>
  <si>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</si>
  <si>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</si>
  <si>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</si>
  <si>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</si>
  <si>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</si>
  <si>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</si>
  <si>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</si>
  <si>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</si>
  <si>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</si>
  <si>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</si>
  <si>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</si>
  <si>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</si>
  <si>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</si>
  <si>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</si>
  <si>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</si>
  <si>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</si>
  <si>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</si>
  <si>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</si>
  <si>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</si>
  <si>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</si>
  <si>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</si>
  <si>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</si>
  <si>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</si>
  <si>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</si>
  <si>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</si>
  <si>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</si>
  <si>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</si>
  <si>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</si>
  <si>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</si>
  <si>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</si>
  <si>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</si>
  <si>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</si>
  <si>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</si>
  <si>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</si>
  <si>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</si>
  <si>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</si>
  <si>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</si>
  <si>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</si>
  <si>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</si>
  <si>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</si>
  <si>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</si>
  <si>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</si>
  <si>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</si>
  <si>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</si>
  <si>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</si>
  <si>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</si>
  <si>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</si>
  <si>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</si>
  <si>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</si>
  <si>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</si>
  <si>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</si>
  <si>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</si>
  <si>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</si>
  <si>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</si>
  <si>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</si>
  <si>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</si>
  <si>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</si>
  <si>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</si>
  <si>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</si>
  <si>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</si>
  <si>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</si>
  <si>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</si>
  <si>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</si>
  <si>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</si>
  <si>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</si>
  <si>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</si>
  <si>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</si>
  <si>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</si>
  <si>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</si>
  <si>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</si>
  <si>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</si>
  <si>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</si>
  <si>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</si>
  <si>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</si>
  <si>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</si>
  <si>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</si>
  <si>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</si>
  <si>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</si>
  <si>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</si>
  <si>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</si>
  <si>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</si>
  <si>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</si>
  <si>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</si>
  <si>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</si>
  <si>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</si>
  <si>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</si>
  <si>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</si>
  <si>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</si>
  <si>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</si>
  <si>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</si>
  <si>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</si>
  <si>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</si>
  <si>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</si>
  <si>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</si>
  <si>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</si>
  <si>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</si>
  <si>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</si>
  <si>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</si>
  <si>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</si>
  <si>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</si>
  <si>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</si>
  <si>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</si>
  <si>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</si>
  <si>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</si>
  <si>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</si>
  <si>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</si>
  <si>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</si>
  <si>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</si>
  <si>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</si>
  <si>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</si>
  <si>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</si>
  <si>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</si>
  <si>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</si>
  <si>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</si>
  <si>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</si>
  <si>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</si>
  <si>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</si>
  <si>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</si>
  <si>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</si>
  <si>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</si>
  <si>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</si>
  <si>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</si>
  <si>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</si>
  <si>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</si>
  <si>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</si>
  <si>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</si>
  <si>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</si>
  <si>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</si>
  <si>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</si>
  <si>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</si>
  <si>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</si>
  <si>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</si>
  <si>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</si>
  <si>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</si>
  <si>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</si>
  <si>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</si>
  <si>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</si>
  <si>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</si>
  <si>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</si>
  <si>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</si>
  <si>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</si>
  <si>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</si>
  <si>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</si>
  <si>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</si>
  <si>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</si>
  <si>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</si>
  <si>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</si>
  <si>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</si>
  <si>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</si>
  <si>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</si>
  <si>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</si>
  <si>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</si>
  <si>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</si>
  <si>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</si>
  <si>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</si>
  <si>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</si>
  <si>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</si>
  <si>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</si>
  <si>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</si>
  <si>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AnalyticsEnergy Meter via upload</t>
  </si>
  <si>
    <t>AnalyticsWater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</si>
</sst>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0" fontId="8" fillId="3" borderId="1" xfId="0" applyFont="1" applyFill="1" applyBorder="1" applyAlignment="1" applyProtection="1">
      <alignment horizontal="left" vertical="center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2" fontId="8" fillId="3" borderId="1" xfId="0" applyNumberFormat="1" applyFont="1" applyFill="1" applyBorder="1" applyAlignment="1" applyProtection="1">
      <alignment horizontal="right" vertical="center"/>
      <protection locked="0"/>
    </xf>
    <xf numFmtId="3" fontId="4" fillId="0" borderId="25" xfId="8" applyNumberFormat="1" applyFont="1" applyFill="1" applyBorder="1" applyAlignment="1" applyProtection="1">
      <alignment horizontal="left" vertical="center"/>
    </xf>
    <xf numFmtId="0" fontId="2" fillId="2" borderId="2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7</xdr:row>
          <xdr:rowOff>190500</xdr:rowOff>
        </xdr:from>
        <xdr:to>
          <xdr:col>3</xdr:col>
          <xdr:colOff>9525</xdr:colOff>
          <xdr:row>9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190500</xdr:rowOff>
        </xdr:from>
        <xdr:to>
          <xdr:col>2</xdr:col>
          <xdr:colOff>9525</xdr:colOff>
          <xdr:row>9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7</xdr:row>
          <xdr:rowOff>190500</xdr:rowOff>
        </xdr:from>
        <xdr:to>
          <xdr:col>3</xdr:col>
          <xdr:colOff>9525</xdr:colOff>
          <xdr:row>9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190500</xdr:rowOff>
        </xdr:from>
        <xdr:to>
          <xdr:col>2</xdr:col>
          <xdr:colOff>9525</xdr:colOff>
          <xdr:row>9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7</xdr:row>
          <xdr:rowOff>190500</xdr:rowOff>
        </xdr:from>
        <xdr:to>
          <xdr:col>3</xdr:col>
          <xdr:colOff>9525</xdr:colOff>
          <xdr:row>9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190500</xdr:rowOff>
        </xdr:from>
        <xdr:to>
          <xdr:col>2</xdr:col>
          <xdr:colOff>9525</xdr:colOff>
          <xdr:row>9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2</xdr:col>
          <xdr:colOff>1314450</xdr:colOff>
          <xdr:row>9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190500</xdr:rowOff>
        </xdr:from>
        <xdr:to>
          <xdr:col>2</xdr:col>
          <xdr:colOff>9525</xdr:colOff>
          <xdr:row>8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190500</xdr:rowOff>
        </xdr:from>
        <xdr:to>
          <xdr:col>2</xdr:col>
          <xdr:colOff>9525</xdr:colOff>
          <xdr:row>8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190500</xdr:rowOff>
        </xdr:from>
        <xdr:to>
          <xdr:col>2</xdr:col>
          <xdr:colOff>9525</xdr:colOff>
          <xdr:row>8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22"/>
  <sheetViews>
    <sheetView showGridLines="0" topLeftCell="A8" zoomScale="90" zoomScaleNormal="90" workbookViewId="0">
      <selection activeCell="Y23" sqref="Y23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3" width="9.140625" style="50" hidden="1" customWidth="1"/>
    <col min="14" max="14" width="9.140625" style="50" customWidth="1"/>
    <col min="15" max="19" width="9.140625" style="50" hidden="1" customWidth="1"/>
    <col min="20" max="20" width="0" style="50" hidden="1" customWidth="1"/>
    <col min="21" max="16384" width="9.140625" style="50"/>
  </cols>
  <sheetData>
    <row r="2" spans="2:14" x14ac:dyDescent="0.25">
      <c r="B2" s="56"/>
      <c r="C2" s="57" t="s">
        <v>574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0" t="s">
        <v>654</v>
      </c>
      <c r="D3" s="121"/>
      <c r="E3" s="121"/>
      <c r="F3" s="121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582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569</v>
      </c>
      <c r="D9" s="65"/>
      <c r="E9" s="66"/>
      <c r="F9" s="69" t="s">
        <v>583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584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588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646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3"/>
      <c r="C15" s="118" t="s">
        <v>494</v>
      </c>
      <c r="D15" s="118"/>
      <c r="E15" s="118"/>
      <c r="F15" s="82">
        <v>2017</v>
      </c>
      <c r="G15" s="9"/>
      <c r="H15" s="9"/>
      <c r="I15" s="10"/>
      <c r="J15" s="9"/>
      <c r="K15" s="84"/>
      <c r="L15" s="49"/>
      <c r="M15" s="49"/>
      <c r="N15" s="49"/>
    </row>
    <row r="16" spans="2:14" x14ac:dyDescent="0.25">
      <c r="B16" s="83"/>
      <c r="C16" s="118" t="str">
        <f>CONCATENATE("Gross 
Floor Area 
",IF(Setup!$F$9="SI units","(sq m)","(sq ft)"))</f>
        <v>Gross 
Floor Area 
(sq ft)</v>
      </c>
      <c r="D16" s="118"/>
      <c r="E16" s="118"/>
      <c r="F16" s="113">
        <v>1000</v>
      </c>
      <c r="G16" s="11"/>
      <c r="H16" s="11"/>
      <c r="I16" s="12"/>
      <c r="J16" s="11"/>
      <c r="K16" s="62"/>
      <c r="L16" s="49"/>
      <c r="M16" s="49"/>
      <c r="N16" s="49"/>
    </row>
    <row r="17" spans="2:19" x14ac:dyDescent="0.25">
      <c r="B17" s="83"/>
      <c r="C17" s="118" t="s">
        <v>670</v>
      </c>
      <c r="D17" s="118"/>
      <c r="E17" s="118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</row>
    <row r="18" spans="2:19" x14ac:dyDescent="0.25">
      <c r="B18" s="83"/>
      <c r="C18" s="118" t="s">
        <v>668</v>
      </c>
      <c r="D18" s="118"/>
      <c r="E18" s="118"/>
      <c r="F18" s="82">
        <v>100</v>
      </c>
      <c r="G18" s="11"/>
      <c r="H18" s="11"/>
      <c r="I18" s="12"/>
      <c r="J18" s="11"/>
      <c r="K18" s="84"/>
      <c r="L18" s="49">
        <f>F18/7</f>
        <v>14.285714285714286</v>
      </c>
      <c r="M18" s="49"/>
      <c r="N18" s="49"/>
    </row>
    <row r="19" spans="2:19" x14ac:dyDescent="0.25">
      <c r="B19" s="61"/>
      <c r="C19" s="118" t="s">
        <v>671</v>
      </c>
      <c r="D19" s="118"/>
      <c r="E19" s="118"/>
      <c r="F19" s="82">
        <v>8</v>
      </c>
      <c r="G19" s="11"/>
      <c r="H19" s="11"/>
      <c r="I19" s="12"/>
      <c r="J19" s="11"/>
      <c r="K19" s="84"/>
      <c r="L19" s="49"/>
      <c r="M19" s="49"/>
      <c r="N19" s="49"/>
    </row>
    <row r="20" spans="2:19" x14ac:dyDescent="0.25">
      <c r="B20" s="61"/>
      <c r="C20" s="118" t="s">
        <v>672</v>
      </c>
      <c r="D20" s="118"/>
      <c r="E20" s="118"/>
      <c r="F20" s="82">
        <v>16</v>
      </c>
      <c r="G20" s="11"/>
      <c r="H20" s="11"/>
      <c r="I20" s="12"/>
      <c r="J20" s="11"/>
      <c r="K20" s="84"/>
      <c r="L20" s="49">
        <f>F20/60</f>
        <v>0.26666666666666666</v>
      </c>
      <c r="M20" s="49"/>
      <c r="N20" s="49"/>
    </row>
    <row r="21" spans="2:19" x14ac:dyDescent="0.25">
      <c r="B21" s="61"/>
      <c r="C21" s="118" t="s">
        <v>673</v>
      </c>
      <c r="D21" s="118"/>
      <c r="E21" s="118"/>
      <c r="F21" s="117">
        <f>IFERROR(F19+ L17*(L20/L18),0)</f>
        <v>9.0228310502283104</v>
      </c>
      <c r="G21" s="11"/>
      <c r="H21" s="11"/>
      <c r="I21" s="12"/>
      <c r="J21" s="11"/>
      <c r="K21" s="62"/>
      <c r="L21" s="49"/>
      <c r="M21" s="49"/>
      <c r="N21" s="49"/>
    </row>
    <row r="22" spans="2:19" ht="24" customHeight="1" x14ac:dyDescent="0.25">
      <c r="B22" s="61"/>
      <c r="C22" s="11"/>
      <c r="D22" s="11"/>
      <c r="E22" s="11"/>
      <c r="F22" s="85"/>
      <c r="G22" s="11"/>
      <c r="H22" s="11"/>
      <c r="I22" s="12"/>
      <c r="J22" s="11"/>
      <c r="K22" s="62"/>
      <c r="L22" s="49"/>
      <c r="M22" s="49"/>
      <c r="N22" s="49"/>
    </row>
    <row r="23" spans="2:19" ht="30" customHeight="1" x14ac:dyDescent="0.25">
      <c r="B23" s="61"/>
      <c r="C23" s="18" t="s">
        <v>585</v>
      </c>
      <c r="D23" s="11"/>
      <c r="E23" s="11"/>
      <c r="F23" s="11"/>
      <c r="G23" s="11"/>
      <c r="H23" s="11"/>
      <c r="I23" s="12"/>
      <c r="J23" s="11"/>
      <c r="K23" s="62"/>
    </row>
    <row r="24" spans="2:19" x14ac:dyDescent="0.25">
      <c r="B24" s="61"/>
      <c r="C24" s="55" t="s">
        <v>567</v>
      </c>
      <c r="D24" s="46"/>
      <c r="E24" s="47"/>
      <c r="F24" s="45" t="s">
        <v>544</v>
      </c>
      <c r="G24" s="9"/>
      <c r="H24" s="9"/>
      <c r="I24" s="10"/>
      <c r="J24" s="9"/>
      <c r="K24" s="62"/>
    </row>
    <row r="25" spans="2:19" x14ac:dyDescent="0.25">
      <c r="B25" s="61"/>
      <c r="C25" s="48" t="s">
        <v>495</v>
      </c>
      <c r="D25" s="19"/>
      <c r="E25" s="20"/>
      <c r="F25" s="11"/>
      <c r="G25" s="9"/>
      <c r="H25" s="9"/>
      <c r="I25" s="10"/>
      <c r="J25" s="9"/>
      <c r="K25" s="62"/>
    </row>
    <row r="26" spans="2:19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19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19" ht="21" customHeight="1" x14ac:dyDescent="0.25">
      <c r="B28" s="61"/>
      <c r="C28" s="75" t="s">
        <v>587</v>
      </c>
      <c r="D28" s="76"/>
      <c r="E28" s="72"/>
      <c r="F28" s="72"/>
      <c r="G28" s="77"/>
      <c r="H28" s="77"/>
      <c r="I28" s="77"/>
      <c r="J28" s="77"/>
      <c r="K28" s="62"/>
    </row>
    <row r="29" spans="2:19" ht="30.6" customHeight="1" x14ac:dyDescent="0.25">
      <c r="B29" s="61"/>
      <c r="C29" s="119" t="s">
        <v>573</v>
      </c>
      <c r="D29" s="119"/>
      <c r="E29" s="119"/>
      <c r="F29" s="119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552</v>
      </c>
      <c r="Q29" s="50" t="s">
        <v>552</v>
      </c>
      <c r="S29" s="86" t="s">
        <v>581</v>
      </c>
    </row>
    <row r="30" spans="2:19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544</v>
      </c>
      <c r="Q30" s="50" t="s">
        <v>544</v>
      </c>
      <c r="S30" s="87" t="s">
        <v>590</v>
      </c>
    </row>
    <row r="31" spans="2:19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562</v>
      </c>
      <c r="Q31" s="50" t="s">
        <v>562</v>
      </c>
      <c r="S31" s="87" t="s">
        <v>591</v>
      </c>
    </row>
    <row r="32" spans="2:19" ht="11.25" customHeight="1" x14ac:dyDescent="0.25">
      <c r="F32" s="51"/>
      <c r="K32" s="54"/>
      <c r="L32" s="52" t="s">
        <v>12</v>
      </c>
      <c r="M32" s="52" t="s">
        <v>13</v>
      </c>
      <c r="O32" s="50" t="s">
        <v>559</v>
      </c>
      <c r="S32" s="87" t="s">
        <v>592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561</v>
      </c>
      <c r="S33" s="87" t="s">
        <v>593</v>
      </c>
    </row>
    <row r="34" spans="6:19" x14ac:dyDescent="0.25">
      <c r="F34" s="51"/>
      <c r="K34" s="63" t="s">
        <v>586</v>
      </c>
      <c r="L34" s="52" t="s">
        <v>16</v>
      </c>
      <c r="M34" s="52" t="s">
        <v>17</v>
      </c>
      <c r="O34" s="50" t="s">
        <v>560</v>
      </c>
      <c r="S34" s="87" t="s">
        <v>594</v>
      </c>
    </row>
    <row r="35" spans="6:19" x14ac:dyDescent="0.25">
      <c r="K35" s="63" t="s">
        <v>589</v>
      </c>
      <c r="L35" s="52" t="s">
        <v>18</v>
      </c>
      <c r="M35" s="52" t="s">
        <v>19</v>
      </c>
      <c r="S35" s="87" t="s">
        <v>595</v>
      </c>
    </row>
    <row r="36" spans="6:19" x14ac:dyDescent="0.25">
      <c r="K36" s="63" t="s">
        <v>571</v>
      </c>
      <c r="L36" s="52" t="s">
        <v>20</v>
      </c>
      <c r="M36" s="52" t="s">
        <v>21</v>
      </c>
      <c r="S36" s="87" t="s">
        <v>596</v>
      </c>
    </row>
    <row r="37" spans="6:19" x14ac:dyDescent="0.25">
      <c r="K37" s="63" t="s">
        <v>572</v>
      </c>
      <c r="L37" s="52" t="s">
        <v>22</v>
      </c>
      <c r="M37" s="52" t="s">
        <v>23</v>
      </c>
      <c r="S37" s="87" t="s">
        <v>597</v>
      </c>
    </row>
    <row r="38" spans="6:19" x14ac:dyDescent="0.25">
      <c r="L38" s="52" t="s">
        <v>24</v>
      </c>
      <c r="M38" s="52" t="s">
        <v>25</v>
      </c>
      <c r="S38" s="87" t="s">
        <v>598</v>
      </c>
    </row>
    <row r="39" spans="6:19" x14ac:dyDescent="0.25">
      <c r="L39" s="52" t="s">
        <v>26</v>
      </c>
      <c r="M39" s="52" t="s">
        <v>27</v>
      </c>
      <c r="S39" s="87" t="s">
        <v>599</v>
      </c>
    </row>
    <row r="40" spans="6:19" x14ac:dyDescent="0.25">
      <c r="L40" s="52" t="s">
        <v>28</v>
      </c>
      <c r="M40" s="52" t="s">
        <v>29</v>
      </c>
      <c r="S40" s="87" t="s">
        <v>600</v>
      </c>
    </row>
    <row r="41" spans="6:19" x14ac:dyDescent="0.25">
      <c r="L41" s="52" t="s">
        <v>30</v>
      </c>
      <c r="M41" s="52" t="s">
        <v>31</v>
      </c>
      <c r="S41" s="87" t="s">
        <v>601</v>
      </c>
    </row>
    <row r="42" spans="6:19" x14ac:dyDescent="0.25">
      <c r="L42" s="52" t="s">
        <v>32</v>
      </c>
      <c r="M42" s="52" t="s">
        <v>33</v>
      </c>
      <c r="S42" s="87" t="s">
        <v>602</v>
      </c>
    </row>
    <row r="43" spans="6:19" x14ac:dyDescent="0.25">
      <c r="L43" s="52" t="s">
        <v>34</v>
      </c>
      <c r="M43" s="52" t="s">
        <v>35</v>
      </c>
      <c r="S43" s="87" t="s">
        <v>603</v>
      </c>
    </row>
    <row r="44" spans="6:19" x14ac:dyDescent="0.25">
      <c r="L44" s="52" t="s">
        <v>36</v>
      </c>
      <c r="M44" s="52" t="s">
        <v>37</v>
      </c>
      <c r="S44" s="87" t="s">
        <v>604</v>
      </c>
    </row>
    <row r="45" spans="6:19" x14ac:dyDescent="0.25">
      <c r="L45" s="52" t="s">
        <v>38</v>
      </c>
      <c r="M45" s="52" t="s">
        <v>39</v>
      </c>
      <c r="S45" s="87" t="s">
        <v>605</v>
      </c>
    </row>
    <row r="46" spans="6:19" x14ac:dyDescent="0.25">
      <c r="L46" s="52" t="s">
        <v>40</v>
      </c>
      <c r="M46" s="52" t="s">
        <v>41</v>
      </c>
      <c r="S46" s="87" t="s">
        <v>606</v>
      </c>
    </row>
    <row r="47" spans="6:19" x14ac:dyDescent="0.25">
      <c r="L47" s="52" t="s">
        <v>42</v>
      </c>
      <c r="M47" s="52" t="s">
        <v>43</v>
      </c>
      <c r="S47" s="87" t="s">
        <v>607</v>
      </c>
    </row>
    <row r="48" spans="6:19" x14ac:dyDescent="0.25">
      <c r="L48" s="52" t="s">
        <v>44</v>
      </c>
      <c r="M48" s="52" t="s">
        <v>45</v>
      </c>
      <c r="S48" s="87" t="s">
        <v>608</v>
      </c>
    </row>
    <row r="49" spans="12:19" x14ac:dyDescent="0.25">
      <c r="L49" s="52" t="s">
        <v>46</v>
      </c>
      <c r="M49" s="52" t="s">
        <v>47</v>
      </c>
      <c r="S49" s="87" t="s">
        <v>609</v>
      </c>
    </row>
    <row r="50" spans="12:19" x14ac:dyDescent="0.25">
      <c r="L50" s="52" t="s">
        <v>48</v>
      </c>
      <c r="M50" s="52" t="s">
        <v>49</v>
      </c>
      <c r="S50" s="87" t="s">
        <v>610</v>
      </c>
    </row>
    <row r="51" spans="12:19" x14ac:dyDescent="0.25">
      <c r="L51" s="52" t="s">
        <v>50</v>
      </c>
      <c r="M51" s="52" t="s">
        <v>51</v>
      </c>
      <c r="S51" s="87" t="s">
        <v>611</v>
      </c>
    </row>
    <row r="52" spans="12:19" x14ac:dyDescent="0.25">
      <c r="L52" s="52" t="s">
        <v>52</v>
      </c>
      <c r="M52" s="52" t="s">
        <v>53</v>
      </c>
      <c r="S52" s="87" t="s">
        <v>612</v>
      </c>
    </row>
    <row r="53" spans="12:19" x14ac:dyDescent="0.25">
      <c r="L53" s="52" t="s">
        <v>54</v>
      </c>
      <c r="M53" s="52" t="s">
        <v>55</v>
      </c>
      <c r="S53" s="87" t="s">
        <v>613</v>
      </c>
    </row>
    <row r="54" spans="12:19" x14ac:dyDescent="0.25">
      <c r="L54" s="52" t="s">
        <v>56</v>
      </c>
      <c r="M54" s="52" t="s">
        <v>57</v>
      </c>
      <c r="S54" s="87" t="s">
        <v>614</v>
      </c>
    </row>
    <row r="55" spans="12:19" x14ac:dyDescent="0.25">
      <c r="L55" s="52" t="s">
        <v>58</v>
      </c>
      <c r="M55" s="52" t="s">
        <v>59</v>
      </c>
      <c r="S55" s="87" t="s">
        <v>615</v>
      </c>
    </row>
    <row r="56" spans="12:19" x14ac:dyDescent="0.25">
      <c r="L56" s="52" t="s">
        <v>60</v>
      </c>
      <c r="M56" s="52" t="s">
        <v>61</v>
      </c>
      <c r="S56" s="87" t="s">
        <v>616</v>
      </c>
    </row>
    <row r="57" spans="12:19" x14ac:dyDescent="0.25">
      <c r="L57" s="52" t="s">
        <v>62</v>
      </c>
      <c r="M57" s="52" t="s">
        <v>63</v>
      </c>
      <c r="S57" s="87" t="s">
        <v>617</v>
      </c>
    </row>
    <row r="58" spans="12:19" x14ac:dyDescent="0.25">
      <c r="L58" s="52" t="s">
        <v>64</v>
      </c>
      <c r="M58" s="52" t="s">
        <v>65</v>
      </c>
      <c r="S58" s="87" t="s">
        <v>618</v>
      </c>
    </row>
    <row r="59" spans="12:19" x14ac:dyDescent="0.25">
      <c r="L59" s="52" t="s">
        <v>66</v>
      </c>
      <c r="M59" s="52" t="s">
        <v>67</v>
      </c>
      <c r="S59" s="87" t="s">
        <v>619</v>
      </c>
    </row>
    <row r="60" spans="12:19" x14ac:dyDescent="0.25">
      <c r="L60" s="52" t="s">
        <v>68</v>
      </c>
      <c r="M60" s="52" t="s">
        <v>69</v>
      </c>
      <c r="S60" s="87" t="s">
        <v>620</v>
      </c>
    </row>
    <row r="61" spans="12:19" x14ac:dyDescent="0.25">
      <c r="L61" s="52" t="s">
        <v>70</v>
      </c>
      <c r="M61" s="52" t="s">
        <v>71</v>
      </c>
      <c r="S61" s="87" t="s">
        <v>621</v>
      </c>
    </row>
    <row r="62" spans="12:19" x14ac:dyDescent="0.25">
      <c r="L62" s="52" t="s">
        <v>72</v>
      </c>
      <c r="M62" s="52" t="s">
        <v>73</v>
      </c>
      <c r="S62" s="87" t="s">
        <v>622</v>
      </c>
    </row>
    <row r="63" spans="12:19" x14ac:dyDescent="0.25">
      <c r="L63" s="52" t="s">
        <v>74</v>
      </c>
      <c r="M63" s="52" t="s">
        <v>75</v>
      </c>
      <c r="S63" s="87" t="s">
        <v>623</v>
      </c>
    </row>
    <row r="64" spans="12:19" x14ac:dyDescent="0.25">
      <c r="L64" s="52" t="s">
        <v>76</v>
      </c>
      <c r="M64" s="52" t="s">
        <v>77</v>
      </c>
      <c r="S64" s="87" t="s">
        <v>624</v>
      </c>
    </row>
    <row r="65" spans="12:19" x14ac:dyDescent="0.25">
      <c r="L65" s="52" t="s">
        <v>78</v>
      </c>
      <c r="M65" s="52" t="s">
        <v>79</v>
      </c>
      <c r="S65" s="87" t="s">
        <v>625</v>
      </c>
    </row>
    <row r="66" spans="12:19" x14ac:dyDescent="0.25">
      <c r="L66" s="52" t="s">
        <v>80</v>
      </c>
      <c r="M66" s="52" t="s">
        <v>81</v>
      </c>
      <c r="S66" s="87" t="s">
        <v>626</v>
      </c>
    </row>
    <row r="67" spans="12:19" x14ac:dyDescent="0.25">
      <c r="L67" s="52" t="s">
        <v>82</v>
      </c>
      <c r="M67" s="52" t="s">
        <v>83</v>
      </c>
      <c r="S67" s="87" t="s">
        <v>627</v>
      </c>
    </row>
    <row r="68" spans="12:19" x14ac:dyDescent="0.25">
      <c r="L68" s="52" t="s">
        <v>84</v>
      </c>
      <c r="M68" s="52" t="s">
        <v>85</v>
      </c>
      <c r="S68" s="87" t="s">
        <v>628</v>
      </c>
    </row>
    <row r="69" spans="12:19" x14ac:dyDescent="0.25">
      <c r="L69" s="52" t="s">
        <v>86</v>
      </c>
      <c r="M69" s="52" t="s">
        <v>87</v>
      </c>
      <c r="S69" s="87" t="s">
        <v>629</v>
      </c>
    </row>
    <row r="70" spans="12:19" x14ac:dyDescent="0.25">
      <c r="L70" s="52" t="s">
        <v>88</v>
      </c>
      <c r="M70" s="52" t="s">
        <v>89</v>
      </c>
      <c r="S70" s="87" t="s">
        <v>630</v>
      </c>
    </row>
    <row r="71" spans="12:19" x14ac:dyDescent="0.25">
      <c r="L71" s="52" t="s">
        <v>90</v>
      </c>
      <c r="M71" s="52" t="s">
        <v>91</v>
      </c>
      <c r="S71" s="87" t="s">
        <v>631</v>
      </c>
    </row>
    <row r="72" spans="12:19" x14ac:dyDescent="0.25">
      <c r="L72" s="52" t="s">
        <v>92</v>
      </c>
      <c r="M72" s="52" t="s">
        <v>93</v>
      </c>
      <c r="S72" s="87" t="s">
        <v>632</v>
      </c>
    </row>
    <row r="73" spans="12:19" x14ac:dyDescent="0.25">
      <c r="L73" s="52" t="s">
        <v>94</v>
      </c>
      <c r="M73" s="52" t="s">
        <v>95</v>
      </c>
      <c r="S73" s="87" t="s">
        <v>633</v>
      </c>
    </row>
    <row r="74" spans="12:19" x14ac:dyDescent="0.25">
      <c r="L74" s="52" t="s">
        <v>96</v>
      </c>
      <c r="M74" s="52" t="s">
        <v>97</v>
      </c>
      <c r="S74" s="87" t="s">
        <v>634</v>
      </c>
    </row>
    <row r="75" spans="12:19" x14ac:dyDescent="0.25">
      <c r="L75" s="52" t="s">
        <v>98</v>
      </c>
      <c r="M75" s="52" t="s">
        <v>99</v>
      </c>
      <c r="S75" s="87" t="s">
        <v>635</v>
      </c>
    </row>
    <row r="76" spans="12:19" x14ac:dyDescent="0.25">
      <c r="L76" s="52" t="s">
        <v>100</v>
      </c>
      <c r="M76" s="52" t="s">
        <v>101</v>
      </c>
      <c r="S76" s="87" t="s">
        <v>636</v>
      </c>
    </row>
    <row r="77" spans="12:19" x14ac:dyDescent="0.25">
      <c r="L77" s="52" t="s">
        <v>102</v>
      </c>
      <c r="M77" s="52" t="s">
        <v>103</v>
      </c>
      <c r="S77" s="87" t="s">
        <v>637</v>
      </c>
    </row>
    <row r="78" spans="12:19" x14ac:dyDescent="0.25">
      <c r="L78" s="52" t="s">
        <v>104</v>
      </c>
      <c r="M78" s="52" t="s">
        <v>105</v>
      </c>
      <c r="S78" s="87" t="s">
        <v>638</v>
      </c>
    </row>
    <row r="79" spans="12:19" x14ac:dyDescent="0.25">
      <c r="L79" s="52" t="s">
        <v>106</v>
      </c>
      <c r="M79" s="52" t="s">
        <v>107</v>
      </c>
      <c r="S79" s="87" t="s">
        <v>639</v>
      </c>
    </row>
    <row r="80" spans="12:19" x14ac:dyDescent="0.25">
      <c r="L80" s="52" t="s">
        <v>108</v>
      </c>
      <c r="M80" s="52" t="s">
        <v>109</v>
      </c>
      <c r="S80" s="87" t="s">
        <v>640</v>
      </c>
    </row>
    <row r="81" spans="12:19" x14ac:dyDescent="0.25">
      <c r="L81" s="52" t="s">
        <v>110</v>
      </c>
      <c r="M81" s="52" t="s">
        <v>111</v>
      </c>
      <c r="S81" s="87" t="s">
        <v>641</v>
      </c>
    </row>
    <row r="82" spans="12:19" x14ac:dyDescent="0.25">
      <c r="L82" s="52" t="s">
        <v>112</v>
      </c>
      <c r="M82" s="52" t="s">
        <v>113</v>
      </c>
      <c r="S82" s="87" t="s">
        <v>642</v>
      </c>
    </row>
    <row r="83" spans="12:19" x14ac:dyDescent="0.25">
      <c r="L83" s="52" t="s">
        <v>114</v>
      </c>
      <c r="M83" s="52" t="s">
        <v>115</v>
      </c>
      <c r="S83" s="87" t="s">
        <v>643</v>
      </c>
    </row>
    <row r="84" spans="12:19" x14ac:dyDescent="0.25">
      <c r="L84" s="52" t="s">
        <v>116</v>
      </c>
      <c r="M84" s="52" t="s">
        <v>117</v>
      </c>
      <c r="S84" s="87" t="s">
        <v>644</v>
      </c>
    </row>
    <row r="85" spans="12:19" x14ac:dyDescent="0.25">
      <c r="L85" s="52" t="s">
        <v>118</v>
      </c>
      <c r="M85" s="52" t="s">
        <v>119</v>
      </c>
      <c r="S85" s="87" t="s">
        <v>645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496</v>
      </c>
    </row>
    <row r="275" spans="12:12" x14ac:dyDescent="0.25">
      <c r="L275" s="52" t="s">
        <v>497</v>
      </c>
    </row>
    <row r="276" spans="12:12" x14ac:dyDescent="0.25">
      <c r="L276" s="52" t="s">
        <v>498</v>
      </c>
    </row>
    <row r="277" spans="12:12" x14ac:dyDescent="0.25">
      <c r="L277" s="52" t="s">
        <v>499</v>
      </c>
    </row>
    <row r="278" spans="12:12" x14ac:dyDescent="0.25">
      <c r="L278" s="52" t="s">
        <v>500</v>
      </c>
    </row>
    <row r="279" spans="12:12" x14ac:dyDescent="0.25">
      <c r="L279" s="52" t="s">
        <v>501</v>
      </c>
    </row>
    <row r="280" spans="12:12" x14ac:dyDescent="0.25">
      <c r="L280" s="52" t="s">
        <v>502</v>
      </c>
    </row>
    <row r="281" spans="12:12" x14ac:dyDescent="0.25">
      <c r="L281" s="52" t="s">
        <v>503</v>
      </c>
    </row>
    <row r="282" spans="12:12" x14ac:dyDescent="0.25">
      <c r="L282" s="52" t="s">
        <v>504</v>
      </c>
    </row>
    <row r="283" spans="12:12" x14ac:dyDescent="0.25">
      <c r="L283" s="52" t="s">
        <v>505</v>
      </c>
    </row>
    <row r="284" spans="12:12" x14ac:dyDescent="0.25">
      <c r="L284" s="52" t="s">
        <v>506</v>
      </c>
    </row>
    <row r="285" spans="12:12" x14ac:dyDescent="0.25">
      <c r="L285" s="52" t="s">
        <v>507</v>
      </c>
    </row>
    <row r="286" spans="12:12" x14ac:dyDescent="0.25">
      <c r="L286" s="52" t="s">
        <v>508</v>
      </c>
    </row>
    <row r="287" spans="12:12" x14ac:dyDescent="0.25">
      <c r="L287" s="52" t="s">
        <v>509</v>
      </c>
    </row>
    <row r="288" spans="12:12" x14ac:dyDescent="0.25">
      <c r="L288" s="52" t="s">
        <v>510</v>
      </c>
    </row>
    <row r="289" spans="12:12" x14ac:dyDescent="0.25">
      <c r="L289" s="52" t="s">
        <v>511</v>
      </c>
    </row>
    <row r="290" spans="12:12" x14ac:dyDescent="0.25">
      <c r="L290" s="52" t="s">
        <v>512</v>
      </c>
    </row>
    <row r="291" spans="12:12" x14ac:dyDescent="0.25">
      <c r="L291" s="52" t="s">
        <v>513</v>
      </c>
    </row>
    <row r="292" spans="12:12" x14ac:dyDescent="0.25">
      <c r="L292" s="52" t="s">
        <v>514</v>
      </c>
    </row>
    <row r="293" spans="12:12" x14ac:dyDescent="0.25">
      <c r="L293" s="52" t="s">
        <v>515</v>
      </c>
    </row>
    <row r="294" spans="12:12" x14ac:dyDescent="0.25">
      <c r="L294" s="52" t="s">
        <v>516</v>
      </c>
    </row>
    <row r="295" spans="12:12" x14ac:dyDescent="0.25">
      <c r="L295" s="52" t="s">
        <v>517</v>
      </c>
    </row>
    <row r="296" spans="12:12" x14ac:dyDescent="0.25">
      <c r="L296" s="52" t="s">
        <v>518</v>
      </c>
    </row>
    <row r="297" spans="12:12" x14ac:dyDescent="0.25">
      <c r="L297" s="52" t="s">
        <v>519</v>
      </c>
    </row>
    <row r="298" spans="12:12" x14ac:dyDescent="0.25">
      <c r="L298" s="52" t="s">
        <v>520</v>
      </c>
    </row>
    <row r="299" spans="12:12" x14ac:dyDescent="0.25">
      <c r="L299" s="52" t="s">
        <v>521</v>
      </c>
    </row>
    <row r="300" spans="12:12" x14ac:dyDescent="0.25">
      <c r="L300" s="52" t="s">
        <v>522</v>
      </c>
    </row>
    <row r="301" spans="12:12" x14ac:dyDescent="0.25">
      <c r="L301" s="52" t="s">
        <v>523</v>
      </c>
    </row>
    <row r="303" spans="12:12" x14ac:dyDescent="0.25">
      <c r="L303" s="53" t="s">
        <v>524</v>
      </c>
    </row>
    <row r="304" spans="12:12" x14ac:dyDescent="0.25">
      <c r="L304" s="52" t="s">
        <v>525</v>
      </c>
    </row>
    <row r="305" spans="12:12" x14ac:dyDescent="0.25">
      <c r="L305" s="52" t="s">
        <v>526</v>
      </c>
    </row>
    <row r="306" spans="12:12" x14ac:dyDescent="0.25">
      <c r="L306" s="52" t="s">
        <v>527</v>
      </c>
    </row>
    <row r="307" spans="12:12" x14ac:dyDescent="0.25">
      <c r="L307" s="52" t="s">
        <v>528</v>
      </c>
    </row>
    <row r="308" spans="12:12" x14ac:dyDescent="0.25">
      <c r="L308" s="52" t="s">
        <v>529</v>
      </c>
    </row>
    <row r="309" spans="12:12" x14ac:dyDescent="0.25">
      <c r="L309" s="52" t="s">
        <v>530</v>
      </c>
    </row>
    <row r="310" spans="12:12" x14ac:dyDescent="0.25">
      <c r="L310" s="52" t="s">
        <v>531</v>
      </c>
    </row>
    <row r="311" spans="12:12" x14ac:dyDescent="0.25">
      <c r="L311" s="52" t="s">
        <v>532</v>
      </c>
    </row>
    <row r="312" spans="12:12" x14ac:dyDescent="0.25">
      <c r="L312" s="52" t="s">
        <v>533</v>
      </c>
    </row>
    <row r="313" spans="12:12" x14ac:dyDescent="0.25">
      <c r="L313" s="52" t="s">
        <v>534</v>
      </c>
    </row>
    <row r="314" spans="12:12" x14ac:dyDescent="0.25">
      <c r="L314" s="52" t="s">
        <v>535</v>
      </c>
    </row>
    <row r="315" spans="12:12" x14ac:dyDescent="0.25">
      <c r="L315" s="52" t="s">
        <v>536</v>
      </c>
    </row>
    <row r="316" spans="12:12" x14ac:dyDescent="0.25">
      <c r="L316" s="52" t="s">
        <v>537</v>
      </c>
    </row>
    <row r="317" spans="12:12" x14ac:dyDescent="0.25">
      <c r="L317" s="52" t="s">
        <v>538</v>
      </c>
    </row>
    <row r="318" spans="12:12" x14ac:dyDescent="0.25">
      <c r="L318" s="52" t="s">
        <v>539</v>
      </c>
    </row>
    <row r="319" spans="12:12" x14ac:dyDescent="0.25">
      <c r="L319" s="52" t="s">
        <v>540</v>
      </c>
    </row>
    <row r="320" spans="12:12" x14ac:dyDescent="0.25">
      <c r="L320" s="52" t="s">
        <v>541</v>
      </c>
    </row>
    <row r="321" spans="12:12" x14ac:dyDescent="0.25">
      <c r="L321" s="52" t="s">
        <v>542</v>
      </c>
    </row>
    <row r="322" spans="12:12" x14ac:dyDescent="0.25">
      <c r="L322" s="52" t="s">
        <v>543</v>
      </c>
    </row>
  </sheetData>
  <mergeCells count="9">
    <mergeCell ref="C18:E18"/>
    <mergeCell ref="C29:F29"/>
    <mergeCell ref="C20:E20"/>
    <mergeCell ref="C3:F3"/>
    <mergeCell ref="C15:E15"/>
    <mergeCell ref="C16:E16"/>
    <mergeCell ref="C21:E21"/>
    <mergeCell ref="C17:E17"/>
    <mergeCell ref="C19:E19"/>
  </mergeCells>
  <dataValidations count="8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Character are not allowed in this field." sqref="F21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whole" allowBlank="1" showInputMessage="1" showErrorMessage="1" errorTitle="Full time staff " error="Integers are only allowed in this fields_x000a_" sqref="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7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7000000}">
      <formula1>0</formula1>
      <formula2>999999999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580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580</v>
      </c>
      <c r="B2" s="98" t="s">
        <v>568</v>
      </c>
      <c r="C2" s="103"/>
      <c r="D2" s="101"/>
      <c r="E2" s="1"/>
    </row>
    <row r="3" spans="1:9" x14ac:dyDescent="0.25">
      <c r="A3" s="6" t="s">
        <v>580</v>
      </c>
      <c r="B3" s="99" t="s">
        <v>669</v>
      </c>
      <c r="C3" s="104"/>
      <c r="D3" s="101" t="s">
        <v>649</v>
      </c>
      <c r="E3" s="1"/>
    </row>
    <row r="4" spans="1:9" x14ac:dyDescent="0.25">
      <c r="A4" s="6" t="s">
        <v>580</v>
      </c>
      <c r="B4" s="99" t="s">
        <v>569</v>
      </c>
      <c r="C4" s="104"/>
      <c r="D4" s="101" t="s">
        <v>528</v>
      </c>
      <c r="E4" s="1"/>
    </row>
    <row r="5" spans="1:9" x14ac:dyDescent="0.25">
      <c r="A5" s="6" t="s">
        <v>580</v>
      </c>
      <c r="B5" s="44" t="s">
        <v>666</v>
      </c>
      <c r="C5" s="105"/>
      <c r="D5" s="97"/>
      <c r="E5" s="1"/>
    </row>
    <row r="6" spans="1:9" ht="24.75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649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t="s">
        <v>650</v>
      </c>
    </row>
    <row r="11" spans="1:9" x14ac:dyDescent="0.25">
      <c r="I11" t="s">
        <v>651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652</v>
      </c>
    </row>
    <row r="28" spans="8:8" x14ac:dyDescent="0.25">
      <c r="H28" s="5" t="s">
        <v>653</v>
      </c>
    </row>
    <row r="29" spans="8:8" x14ac:dyDescent="0.25">
      <c r="H29" s="5" t="s">
        <v>647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580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580</v>
      </c>
      <c r="B2" s="98" t="s">
        <v>568</v>
      </c>
      <c r="C2" s="103"/>
      <c r="D2" s="101"/>
      <c r="E2" s="1"/>
    </row>
    <row r="3" spans="1:10" x14ac:dyDescent="0.25">
      <c r="A3" s="6" t="s">
        <v>580</v>
      </c>
      <c r="B3" s="99" t="s">
        <v>669</v>
      </c>
      <c r="C3" s="104"/>
      <c r="D3" s="101" t="s">
        <v>648</v>
      </c>
      <c r="E3" s="1"/>
    </row>
    <row r="4" spans="1:10" x14ac:dyDescent="0.25">
      <c r="A4" s="6" t="s">
        <v>580</v>
      </c>
      <c r="B4" s="99" t="s">
        <v>569</v>
      </c>
      <c r="C4" s="104"/>
      <c r="D4" s="101" t="s">
        <v>533</v>
      </c>
      <c r="E4" s="1"/>
    </row>
    <row r="5" spans="1:10" x14ac:dyDescent="0.25">
      <c r="A5" s="6" t="s">
        <v>580</v>
      </c>
      <c r="B5" s="44" t="s">
        <v>666</v>
      </c>
      <c r="C5" s="105"/>
      <c r="D5" s="106"/>
      <c r="E5" s="1"/>
    </row>
    <row r="6" spans="1:10" ht="24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648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674</v>
      </c>
    </row>
    <row r="11" spans="1:10" x14ac:dyDescent="0.25">
      <c r="J11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580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580</v>
      </c>
      <c r="B2" s="98" t="s">
        <v>568</v>
      </c>
      <c r="C2" s="107"/>
      <c r="D2" s="101"/>
      <c r="E2" s="1"/>
    </row>
    <row r="3" spans="1:24" ht="29.25" customHeight="1" x14ac:dyDescent="0.25">
      <c r="A3" s="6" t="s">
        <v>580</v>
      </c>
      <c r="B3" s="99" t="s">
        <v>570</v>
      </c>
      <c r="C3" s="108"/>
      <c r="D3" s="109" t="s">
        <v>516</v>
      </c>
      <c r="E3" s="1"/>
    </row>
    <row r="4" spans="1:24" ht="15.75" customHeight="1" x14ac:dyDescent="0.25">
      <c r="A4" s="6" t="s">
        <v>580</v>
      </c>
      <c r="B4" s="99" t="s">
        <v>569</v>
      </c>
      <c r="C4" s="12"/>
      <c r="D4" s="110" t="s">
        <v>533</v>
      </c>
      <c r="E4" s="1"/>
    </row>
    <row r="5" spans="1:24" x14ac:dyDescent="0.25">
      <c r="A5" s="6" t="s">
        <v>580</v>
      </c>
      <c r="B5" s="44" t="s">
        <v>666</v>
      </c>
      <c r="C5" s="105"/>
      <c r="D5" s="106"/>
      <c r="E5" s="1"/>
    </row>
    <row r="6" spans="1:24" ht="24" customHeight="1" x14ac:dyDescent="0.25">
      <c r="A6" s="6">
        <v>10</v>
      </c>
      <c r="B6" s="102" t="s">
        <v>547</v>
      </c>
      <c r="C6" s="102" t="s">
        <v>548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549</v>
      </c>
      <c r="B10" s="34"/>
      <c r="C10" s="34"/>
      <c r="D10" s="34"/>
      <c r="E10" s="1"/>
      <c r="V10" s="3" t="s">
        <v>562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516</v>
      </c>
      <c r="H19" s="3" t="s">
        <v>533</v>
      </c>
      <c r="I19" s="3" t="s">
        <v>540</v>
      </c>
      <c r="J19" s="3" t="s">
        <v>541</v>
      </c>
      <c r="K19" s="3" t="s">
        <v>529</v>
      </c>
      <c r="L19" s="3" t="s">
        <v>555</v>
      </c>
      <c r="M19" s="3" t="s">
        <v>553</v>
      </c>
      <c r="N19" s="3" t="s">
        <v>527</v>
      </c>
      <c r="O19" s="3" t="s">
        <v>675</v>
      </c>
      <c r="P19" s="3" t="s">
        <v>528</v>
      </c>
      <c r="Q19" s="3" t="s">
        <v>531</v>
      </c>
      <c r="R19" s="3" t="s">
        <v>550</v>
      </c>
      <c r="S19" s="3" t="s">
        <v>551</v>
      </c>
      <c r="T19" s="3" t="s">
        <v>525</v>
      </c>
      <c r="U19" s="3" t="s">
        <v>530</v>
      </c>
      <c r="V19" s="3" t="s">
        <v>545</v>
      </c>
    </row>
    <row r="20" spans="7:22" x14ac:dyDescent="0.25">
      <c r="G20" s="23" t="s">
        <v>518</v>
      </c>
      <c r="H20" s="3" t="s">
        <v>529</v>
      </c>
      <c r="I20" s="3" t="s">
        <v>555</v>
      </c>
      <c r="J20" s="3" t="s">
        <v>543</v>
      </c>
      <c r="K20" s="3" t="s">
        <v>553</v>
      </c>
      <c r="L20" s="3" t="s">
        <v>533</v>
      </c>
      <c r="M20" s="3" t="s">
        <v>540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517</v>
      </c>
      <c r="H21" s="3" t="s">
        <v>529</v>
      </c>
      <c r="I21" s="3" t="s">
        <v>555</v>
      </c>
      <c r="J21" s="3" t="s">
        <v>551</v>
      </c>
      <c r="K21" s="3" t="s">
        <v>530</v>
      </c>
      <c r="L21" s="3" t="s">
        <v>528</v>
      </c>
      <c r="M21" s="3" t="s">
        <v>546</v>
      </c>
      <c r="N21" s="3" t="s">
        <v>564</v>
      </c>
      <c r="O21" s="3" t="s">
        <v>553</v>
      </c>
      <c r="P21" s="3" t="s">
        <v>533</v>
      </c>
      <c r="Q21" s="3" t="s">
        <v>540</v>
      </c>
      <c r="R21" s="5"/>
      <c r="S21" s="5"/>
      <c r="T21" s="5"/>
      <c r="U21" s="5"/>
      <c r="V21" s="5"/>
    </row>
    <row r="22" spans="7:22" x14ac:dyDescent="0.25">
      <c r="G22" s="23" t="s">
        <v>515</v>
      </c>
      <c r="H22" s="3" t="s">
        <v>529</v>
      </c>
      <c r="I22" s="3" t="s">
        <v>555</v>
      </c>
      <c r="J22" s="3" t="s">
        <v>551</v>
      </c>
      <c r="K22" s="3" t="s">
        <v>530</v>
      </c>
      <c r="L22" s="3" t="s">
        <v>528</v>
      </c>
      <c r="M22" s="3" t="s">
        <v>546</v>
      </c>
      <c r="N22" s="3" t="s">
        <v>564</v>
      </c>
      <c r="O22" s="3" t="s">
        <v>553</v>
      </c>
      <c r="P22" s="3" t="s">
        <v>533</v>
      </c>
      <c r="Q22" s="3" t="s">
        <v>540</v>
      </c>
      <c r="R22" s="5"/>
      <c r="S22" s="5"/>
      <c r="T22" s="5"/>
      <c r="U22" s="5"/>
      <c r="V22" s="5"/>
    </row>
    <row r="23" spans="7:22" x14ac:dyDescent="0.25">
      <c r="G23" s="23" t="s">
        <v>514</v>
      </c>
      <c r="H23" s="3" t="s">
        <v>529</v>
      </c>
      <c r="I23" s="3" t="s">
        <v>555</v>
      </c>
      <c r="J23" s="3" t="s">
        <v>528</v>
      </c>
      <c r="K23" s="3" t="s">
        <v>546</v>
      </c>
      <c r="L23" s="3" t="s">
        <v>564</v>
      </c>
      <c r="M23" s="3" t="s">
        <v>553</v>
      </c>
      <c r="N23" s="3" t="s">
        <v>533</v>
      </c>
      <c r="O23" s="3" t="s">
        <v>540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510</v>
      </c>
      <c r="H24" s="3" t="s">
        <v>529</v>
      </c>
      <c r="I24" s="3" t="s">
        <v>555</v>
      </c>
      <c r="J24" s="3" t="s">
        <v>528</v>
      </c>
      <c r="K24" s="3" t="s">
        <v>546</v>
      </c>
      <c r="L24" s="3" t="s">
        <v>564</v>
      </c>
      <c r="M24" s="3" t="s">
        <v>553</v>
      </c>
      <c r="N24" s="3" t="s">
        <v>533</v>
      </c>
      <c r="O24" s="3" t="s">
        <v>540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511</v>
      </c>
      <c r="H25" s="3" t="s">
        <v>529</v>
      </c>
      <c r="I25" s="3" t="s">
        <v>555</v>
      </c>
      <c r="J25" s="3" t="s">
        <v>528</v>
      </c>
      <c r="K25" s="3" t="s">
        <v>546</v>
      </c>
      <c r="L25" s="3" t="s">
        <v>564</v>
      </c>
      <c r="M25" s="3" t="s">
        <v>553</v>
      </c>
      <c r="N25" s="3" t="s">
        <v>533</v>
      </c>
      <c r="O25" s="3" t="s">
        <v>540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512</v>
      </c>
      <c r="H26" s="3" t="s">
        <v>529</v>
      </c>
      <c r="I26" s="3" t="s">
        <v>555</v>
      </c>
      <c r="J26" s="3" t="s">
        <v>528</v>
      </c>
      <c r="K26" s="3" t="s">
        <v>546</v>
      </c>
      <c r="L26" s="3" t="s">
        <v>564</v>
      </c>
      <c r="M26" s="3" t="s">
        <v>553</v>
      </c>
      <c r="N26" s="3" t="s">
        <v>533</v>
      </c>
      <c r="O26" s="3" t="s">
        <v>540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529</v>
      </c>
      <c r="I27" s="3" t="s">
        <v>555</v>
      </c>
      <c r="J27" s="3" t="s">
        <v>528</v>
      </c>
      <c r="K27" s="3" t="s">
        <v>546</v>
      </c>
      <c r="L27" s="3" t="s">
        <v>564</v>
      </c>
      <c r="M27" s="3" t="s">
        <v>553</v>
      </c>
      <c r="N27" s="3" t="s">
        <v>533</v>
      </c>
      <c r="O27" s="3" t="s">
        <v>540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497</v>
      </c>
      <c r="H28" s="3" t="s">
        <v>529</v>
      </c>
      <c r="I28" s="3" t="s">
        <v>555</v>
      </c>
      <c r="J28" s="3" t="s">
        <v>543</v>
      </c>
      <c r="K28" s="3" t="s">
        <v>556</v>
      </c>
      <c r="L28" s="3" t="s">
        <v>579</v>
      </c>
      <c r="M28" s="3" t="s">
        <v>557</v>
      </c>
      <c r="N28" s="3" t="s">
        <v>553</v>
      </c>
      <c r="O28" s="3" t="s">
        <v>533</v>
      </c>
      <c r="P28" s="3" t="s">
        <v>540</v>
      </c>
      <c r="R28" s="5"/>
      <c r="S28" s="5"/>
      <c r="T28" s="5"/>
      <c r="U28" s="5"/>
      <c r="V28" s="5"/>
    </row>
    <row r="29" spans="7:22" x14ac:dyDescent="0.25">
      <c r="G29" s="23" t="s">
        <v>498</v>
      </c>
      <c r="H29" s="3" t="s">
        <v>529</v>
      </c>
      <c r="I29" s="3" t="s">
        <v>555</v>
      </c>
      <c r="J29" s="3" t="s">
        <v>543</v>
      </c>
      <c r="K29" s="3" t="s">
        <v>556</v>
      </c>
      <c r="L29" s="3" t="s">
        <v>579</v>
      </c>
      <c r="M29" s="3" t="s">
        <v>557</v>
      </c>
      <c r="N29" s="3" t="s">
        <v>553</v>
      </c>
      <c r="O29" s="3" t="s">
        <v>533</v>
      </c>
      <c r="P29" s="3" t="s">
        <v>540</v>
      </c>
      <c r="R29" s="5"/>
      <c r="S29" s="5"/>
      <c r="T29" s="5"/>
      <c r="U29" s="5"/>
      <c r="V29" s="5"/>
    </row>
    <row r="30" spans="7:22" x14ac:dyDescent="0.25">
      <c r="G30" s="23" t="s">
        <v>499</v>
      </c>
      <c r="H30" s="3" t="s">
        <v>529</v>
      </c>
      <c r="I30" s="3" t="s">
        <v>555</v>
      </c>
      <c r="J30" s="3" t="s">
        <v>543</v>
      </c>
      <c r="K30" s="3" t="s">
        <v>556</v>
      </c>
      <c r="L30" s="3" t="s">
        <v>579</v>
      </c>
      <c r="M30" s="3" t="s">
        <v>557</v>
      </c>
      <c r="N30" s="3" t="s">
        <v>553</v>
      </c>
      <c r="O30" s="3" t="s">
        <v>533</v>
      </c>
      <c r="P30" s="3" t="s">
        <v>540</v>
      </c>
      <c r="R30" s="5"/>
      <c r="S30" s="5"/>
      <c r="T30" s="5"/>
      <c r="U30" s="5"/>
      <c r="V30" s="5"/>
    </row>
    <row r="31" spans="7:22" x14ac:dyDescent="0.25">
      <c r="G31" s="23" t="s">
        <v>500</v>
      </c>
      <c r="H31" s="3" t="s">
        <v>529</v>
      </c>
      <c r="I31" s="3" t="s">
        <v>555</v>
      </c>
      <c r="J31" s="3" t="s">
        <v>528</v>
      </c>
      <c r="K31" s="3" t="s">
        <v>546</v>
      </c>
      <c r="L31" s="3" t="s">
        <v>564</v>
      </c>
      <c r="M31" s="3" t="s">
        <v>553</v>
      </c>
      <c r="N31" s="3" t="s">
        <v>533</v>
      </c>
      <c r="O31" s="3" t="s">
        <v>540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506</v>
      </c>
      <c r="H32" s="3" t="s">
        <v>529</v>
      </c>
      <c r="I32" s="3" t="s">
        <v>555</v>
      </c>
      <c r="J32" s="3" t="s">
        <v>556</v>
      </c>
      <c r="K32" s="3" t="s">
        <v>579</v>
      </c>
      <c r="L32" s="3" t="s">
        <v>557</v>
      </c>
      <c r="M32" s="3" t="s">
        <v>541</v>
      </c>
      <c r="N32" s="3" t="s">
        <v>553</v>
      </c>
      <c r="O32" s="3" t="s">
        <v>558</v>
      </c>
      <c r="P32" s="3" t="s">
        <v>533</v>
      </c>
      <c r="Q32" s="3" t="s">
        <v>540</v>
      </c>
      <c r="R32" s="5"/>
      <c r="S32" s="5"/>
      <c r="T32" s="5"/>
      <c r="U32" s="5"/>
      <c r="V32" s="5"/>
    </row>
    <row r="33" spans="7:22" x14ac:dyDescent="0.25">
      <c r="G33" s="23" t="s">
        <v>505</v>
      </c>
      <c r="H33" s="3" t="s">
        <v>529</v>
      </c>
      <c r="I33" s="3" t="s">
        <v>555</v>
      </c>
      <c r="J33" s="3" t="s">
        <v>541</v>
      </c>
      <c r="K33" s="3" t="s">
        <v>553</v>
      </c>
      <c r="L33" s="3" t="s">
        <v>533</v>
      </c>
      <c r="M33" s="3" t="s">
        <v>540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529</v>
      </c>
      <c r="I34" s="3" t="s">
        <v>555</v>
      </c>
      <c r="J34" s="3" t="s">
        <v>542</v>
      </c>
      <c r="K34" s="3" t="s">
        <v>553</v>
      </c>
      <c r="L34" s="3" t="s">
        <v>533</v>
      </c>
      <c r="M34" s="3" t="s">
        <v>540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554</v>
      </c>
      <c r="H35" s="3" t="s">
        <v>529</v>
      </c>
      <c r="I35" s="3" t="s">
        <v>555</v>
      </c>
      <c r="J35" s="3" t="s">
        <v>542</v>
      </c>
      <c r="K35" s="3" t="s">
        <v>553</v>
      </c>
      <c r="L35" s="3" t="s">
        <v>533</v>
      </c>
      <c r="M35" s="3" t="s">
        <v>540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529</v>
      </c>
      <c r="I36" s="3" t="s">
        <v>555</v>
      </c>
      <c r="J36" s="3" t="s">
        <v>542</v>
      </c>
      <c r="K36" s="3" t="s">
        <v>553</v>
      </c>
      <c r="L36" s="3" t="s">
        <v>533</v>
      </c>
      <c r="M36" s="3" t="s">
        <v>540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10"/>
  <sheetViews>
    <sheetView workbookViewId="0">
      <selection activeCell="F12" sqref="F12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88" t="s">
        <v>568</v>
      </c>
      <c r="C2" s="90"/>
      <c r="D2" s="41" t="s">
        <v>663</v>
      </c>
      <c r="E2" s="1"/>
    </row>
    <row r="3" spans="1:5" ht="15" customHeight="1" x14ac:dyDescent="0.25">
      <c r="A3" s="6" t="s">
        <v>580</v>
      </c>
      <c r="B3" s="89" t="s">
        <v>669</v>
      </c>
      <c r="C3" s="91"/>
      <c r="D3" s="41" t="s">
        <v>663</v>
      </c>
      <c r="E3" s="1"/>
    </row>
    <row r="4" spans="1:5" ht="14.25" customHeight="1" x14ac:dyDescent="0.25">
      <c r="A4" s="6" t="s">
        <v>580</v>
      </c>
      <c r="B4" s="44" t="s">
        <v>666</v>
      </c>
      <c r="C4" s="92"/>
      <c r="D4" s="97"/>
      <c r="E4" s="1"/>
    </row>
    <row r="5" spans="1:5" ht="14.25" hidden="1" customHeight="1" x14ac:dyDescent="0.25">
      <c r="A5" s="6"/>
      <c r="B5" s="44"/>
      <c r="C5" s="92"/>
      <c r="D5" s="112">
        <f>D4</f>
        <v>0</v>
      </c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">
        <v>667</v>
      </c>
      <c r="E6" s="1"/>
    </row>
    <row r="7" spans="1:5" x14ac:dyDescent="0.25">
      <c r="A7" s="7"/>
      <c r="B7" s="43"/>
      <c r="C7" s="43"/>
      <c r="D7" s="31"/>
      <c r="E7" s="1"/>
    </row>
    <row r="8" spans="1:5" x14ac:dyDescent="0.25">
      <c r="A8" s="28"/>
      <c r="B8" s="33"/>
      <c r="C8" s="33"/>
      <c r="D8" s="36"/>
      <c r="E8" s="1"/>
    </row>
    <row r="9" spans="1:5" ht="4.5" customHeight="1" x14ac:dyDescent="0.25">
      <c r="A9" s="7">
        <v>0</v>
      </c>
      <c r="B9" s="35"/>
      <c r="C9" s="35"/>
      <c r="D9" s="38"/>
      <c r="E9" s="1"/>
    </row>
    <row r="10" spans="1:5" ht="25.5" customHeight="1" x14ac:dyDescent="0.25">
      <c r="A10" s="6" t="s">
        <v>549</v>
      </c>
      <c r="B10" s="34"/>
      <c r="C10" s="34"/>
      <c r="D10" s="34"/>
      <c r="E10" s="1"/>
    </row>
  </sheetData>
  <sheetProtection algorithmName="SHA-512" hashValue="njZmF37SIQaCFuJSZJohzBHpwv2wv6+dkCvDQnjyVp5Le46xf2UNQ2XY/TUTSUaTFMHBlVlYSSpDgPbamkxGNw==" saltValue="9r/IPe9ysFP7P6JeYFN8OQ==" spinCount="100000" sheet="1" objects="1" scenarios="1"/>
  <dataValidations count="4">
    <dataValidation allowBlank="1" showInputMessage="1" showErrorMessage="1" error="Please enter a valid date in mm/dd/yyyy format." sqref="B8:D10" xr:uid="{00000000-0002-0000-0400-000000000000}"/>
    <dataValidation type="textLength" allowBlank="1" showInputMessage="1" showErrorMessage="1" errorTitle="Data Source" error="it can be accept 40 characters." sqref="D4" xr:uid="{00000000-0002-0000-0400-000003000000}">
      <formula1>0</formula1>
      <formula2>40</formula2>
    </dataValidation>
    <dataValidation type="decimal" allowBlank="1" showInputMessage="1" showErrorMessage="1" error="Please enter a valid reading." sqref="D7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400-000002000000}">
      <formula1>1</formula1>
      <formula2>73415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7</xdr:row>
                    <xdr:rowOff>190500</xdr:rowOff>
                  </from>
                  <to>
                    <xdr:col>3</xdr:col>
                    <xdr:colOff>9525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10"/>
  <sheetViews>
    <sheetView workbookViewId="0">
      <selection activeCell="C19" sqref="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3"/>
      <c r="D2" s="41" t="s">
        <v>657</v>
      </c>
      <c r="E2" s="1"/>
    </row>
    <row r="3" spans="1:5" ht="15" customHeight="1" x14ac:dyDescent="0.25">
      <c r="A3" s="6" t="s">
        <v>580</v>
      </c>
      <c r="B3" s="124" t="s">
        <v>669</v>
      </c>
      <c r="C3" s="125"/>
      <c r="D3" s="41" t="s">
        <v>657</v>
      </c>
      <c r="E3" s="1"/>
    </row>
    <row r="4" spans="1:5" ht="15" customHeight="1" x14ac:dyDescent="0.25">
      <c r="A4" s="6"/>
      <c r="B4" s="94" t="s">
        <v>569</v>
      </c>
      <c r="C4" s="95"/>
      <c r="D4" s="41" t="s">
        <v>658</v>
      </c>
      <c r="E4" s="1"/>
    </row>
    <row r="5" spans="1:5" ht="14.25" customHeight="1" x14ac:dyDescent="0.25">
      <c r="A5" s="6" t="s">
        <v>580</v>
      </c>
      <c r="B5" s="126" t="s">
        <v>666</v>
      </c>
      <c r="C5" s="127"/>
      <c r="D5" s="100"/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/>
      <c r="C7" s="43"/>
      <c r="D7" s="111"/>
      <c r="E7" s="1"/>
    </row>
    <row r="8" spans="1:5" ht="10.5" customHeight="1" x14ac:dyDescent="0.25">
      <c r="A8" s="28"/>
      <c r="B8" s="33"/>
      <c r="C8" s="33"/>
      <c r="D8" s="36"/>
      <c r="E8" s="1"/>
    </row>
    <row r="9" spans="1:5" hidden="1" x14ac:dyDescent="0.25">
      <c r="A9" s="7">
        <v>0</v>
      </c>
      <c r="B9" s="35"/>
      <c r="C9" s="35"/>
      <c r="D9" s="38"/>
      <c r="E9" s="1"/>
    </row>
    <row r="10" spans="1:5" ht="25.5" customHeight="1" x14ac:dyDescent="0.25">
      <c r="A10" s="6" t="s">
        <v>549</v>
      </c>
      <c r="B10" s="34"/>
      <c r="C10" s="34"/>
      <c r="D10" s="34"/>
      <c r="E10" s="1"/>
    </row>
  </sheetData>
  <sheetProtection algorithmName="SHA-512" hashValue="ONA23BB34/7pN7g22erBTjMrqhDk/WMj4cSGsUgYbRdbCXwoUMBV8B63gT10SekT7lgdntMKIWxsJfmtp4CBjQ==" saltValue="GmETlVHeN2FisS2vqwNnJQ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8:D10" xr:uid="{00000000-0002-0000-0500-000000000000}"/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  <dataValidation type="date" allowBlank="1" showInputMessage="1" showErrorMessage="1" error="Please enter a valid date in mm/dd/yyyy format." sqref="B7:C7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" xr:uid="{00000000-0002-0000-0500-000002000000}">
      <formula1>0</formula1>
      <formula2>999999999999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7</xdr:row>
                    <xdr:rowOff>190500</xdr:rowOff>
                  </from>
                  <to>
                    <xdr:col>2</xdr:col>
                    <xdr:colOff>9525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7</xdr:row>
                    <xdr:rowOff>190500</xdr:rowOff>
                  </from>
                  <to>
                    <xdr:col>3</xdr:col>
                    <xdr:colOff>9525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10"/>
  <sheetViews>
    <sheetView workbookViewId="0">
      <selection activeCell="C20" sqref="C20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3"/>
      <c r="D2" s="41" t="s">
        <v>664</v>
      </c>
      <c r="E2" s="1"/>
    </row>
    <row r="3" spans="1:5" ht="15" customHeight="1" x14ac:dyDescent="0.25">
      <c r="A3" s="6" t="s">
        <v>580</v>
      </c>
      <c r="B3" s="124" t="s">
        <v>669</v>
      </c>
      <c r="C3" s="125"/>
      <c r="D3" s="41" t="s">
        <v>662</v>
      </c>
      <c r="E3" s="1"/>
    </row>
    <row r="4" spans="1:5" ht="15" customHeight="1" x14ac:dyDescent="0.25">
      <c r="A4" s="6"/>
      <c r="B4" s="94" t="s">
        <v>569</v>
      </c>
      <c r="C4" s="95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27"/>
      <c r="D5" s="100"/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/>
      <c r="C7" s="43"/>
      <c r="D7" s="31"/>
      <c r="E7" s="1"/>
    </row>
    <row r="8" spans="1:5" x14ac:dyDescent="0.25">
      <c r="A8" s="28"/>
      <c r="B8" s="33"/>
      <c r="C8" s="33"/>
      <c r="D8" s="36"/>
      <c r="E8" s="1"/>
    </row>
    <row r="9" spans="1:5" hidden="1" x14ac:dyDescent="0.25">
      <c r="A9" s="7">
        <v>0</v>
      </c>
      <c r="B9" s="35"/>
      <c r="C9" s="35"/>
      <c r="D9" s="38"/>
      <c r="E9" s="1"/>
    </row>
    <row r="10" spans="1:5" ht="25.5" customHeight="1" x14ac:dyDescent="0.25">
      <c r="A10" s="6" t="s">
        <v>549</v>
      </c>
      <c r="B10" s="34"/>
      <c r="C10" s="34"/>
      <c r="D10" s="34"/>
      <c r="E10" s="1"/>
    </row>
  </sheetData>
  <sheetProtection algorithmName="SHA-512" hashValue="pmvrA8MHqxgPNMSwjRHhzMWOszTTj6kv5TeAfhaMbcX5YbhG9gGQKzuvaGjpPGpX8IOQHgHZoD83RoxmuaT98w==" saltValue="t7ozV7tegWmQl9UUq1l8PA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8:D10" xr:uid="{00000000-0002-0000-0600-000000000000}"/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  <dataValidation type="date" allowBlank="1" showInputMessage="1" showErrorMessage="1" error="Please enter a valid date in mm/dd/yyyy format." sqref="B7:C7" xr:uid="{00000000-0002-0000-0600-000001000000}">
      <formula1>1</formula1>
      <formula2>73415</formula2>
    </dataValidation>
    <dataValidation type="decimal" allowBlank="1" showInputMessage="1" showErrorMessage="1" error="Please enter a valid reading." sqref="D7" xr:uid="{00000000-0002-0000-0600-000002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10"/>
  <sheetViews>
    <sheetView workbookViewId="0">
      <selection activeCell="B7" sqref="B7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41" t="s">
        <v>665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41" t="s">
        <v>662</v>
      </c>
      <c r="E3" s="1"/>
    </row>
    <row r="4" spans="1:5" ht="15" customHeight="1" x14ac:dyDescent="0.25">
      <c r="A4" s="6"/>
      <c r="B4" s="124" t="s">
        <v>569</v>
      </c>
      <c r="C4" s="129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/>
      <c r="C7" s="43"/>
      <c r="D7" s="31"/>
      <c r="E7" s="1"/>
    </row>
    <row r="8" spans="1:5" x14ac:dyDescent="0.25">
      <c r="A8" s="28"/>
      <c r="B8" s="33"/>
      <c r="C8" s="33"/>
      <c r="D8" s="36"/>
      <c r="E8" s="1"/>
    </row>
    <row r="9" spans="1:5" ht="2.25" customHeight="1" x14ac:dyDescent="0.25">
      <c r="A9" s="7">
        <v>0</v>
      </c>
      <c r="B9" s="35"/>
      <c r="C9" s="35"/>
      <c r="D9" s="38"/>
      <c r="E9" s="1"/>
    </row>
    <row r="10" spans="1:5" ht="25.5" customHeight="1" x14ac:dyDescent="0.25">
      <c r="A10" s="6" t="s">
        <v>549</v>
      </c>
      <c r="B10" s="34"/>
      <c r="C10" s="34"/>
      <c r="D10" s="34"/>
      <c r="E10" s="1"/>
    </row>
  </sheetData>
  <sheetProtection algorithmName="SHA-512" hashValue="AqrHKS/Nds+HDQzxmBzYmcGfEgLXvw8AwGSgxuKYRubUa2ES5RsLHgSNHU6qSLmxKXXCXFP+tA2cyQyQFQKVSg==" saltValue="iRZO7oMZKso81nYRxBl9IQ==" spinCount="100000" sheet="1" objects="1" scenarios="1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8:D10" xr:uid="{00000000-0002-0000-0700-000000000000}"/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  <dataValidation type="date" allowBlank="1" showInputMessage="1" showErrorMessage="1" error="Please enter a valid date in mm/dd/yyyy format." sqref="B7:C7" xr:uid="{00000000-0002-0000-0700-000001000000}">
      <formula1>1</formula1>
      <formula2>73415</formula2>
    </dataValidation>
    <dataValidation type="decimal" allowBlank="1" showInputMessage="1" showErrorMessage="1" error="Please enter a valid reading." sqref="D7" xr:uid="{00000000-0002-0000-0700-000002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7</xdr:row>
                    <xdr:rowOff>190500</xdr:rowOff>
                  </from>
                  <to>
                    <xdr:col>2</xdr:col>
                    <xdr:colOff>9525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7</xdr:row>
                    <xdr:rowOff>190500</xdr:rowOff>
                  </from>
                  <to>
                    <xdr:col>3</xdr:col>
                    <xdr:colOff>9525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10"/>
  <sheetViews>
    <sheetView workbookViewId="0">
      <selection activeCell="B7" sqref="B7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660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660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/>
      <c r="C7" s="43"/>
      <c r="D7" s="31"/>
      <c r="E7" s="1"/>
    </row>
    <row r="8" spans="1:5" x14ac:dyDescent="0.25">
      <c r="A8" s="28"/>
      <c r="B8" s="33"/>
      <c r="C8" s="33"/>
      <c r="D8" s="36"/>
      <c r="E8" s="1"/>
    </row>
    <row r="9" spans="1:5" x14ac:dyDescent="0.25">
      <c r="A9" s="7">
        <v>0</v>
      </c>
      <c r="B9" s="35"/>
      <c r="C9" s="35"/>
      <c r="D9" s="38"/>
      <c r="E9" s="1"/>
    </row>
    <row r="10" spans="1:5" ht="25.5" customHeight="1" x14ac:dyDescent="0.25">
      <c r="A10" s="6" t="s">
        <v>549</v>
      </c>
      <c r="B10" s="34"/>
      <c r="C10" s="34"/>
      <c r="D10" s="34"/>
      <c r="E10" s="1"/>
    </row>
  </sheetData>
  <sheetProtection algorithmName="SHA-512" hashValue="E/ZNFa1ZXO2PUEMrFeZzi2KiEKnB3oi+/WuNs4kW9cWYj7nyqX3paDGYslJZM2fFAZYFVdtSoymZFXzyX7//nw==" saltValue="0MsS4LpuuwvHvdUI4sVtow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8:D10" xr:uid="{00000000-0002-0000-0800-000000000000}"/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  <dataValidation type="date" allowBlank="1" showInputMessage="1" showErrorMessage="1" error="Please enter a valid date in mm/dd/yyyy format." sqref="B7:C7" xr:uid="{00000000-0002-0000-0800-000001000000}">
      <formula1>1</formula1>
      <formula2>73415</formula2>
    </dataValidation>
    <dataValidation type="decimal" allowBlank="1" showInputMessage="1" showErrorMessage="1" error="Please enter a valid reading." sqref="D7" xr:uid="{00000000-0002-0000-0800-000002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7</xdr:row>
                    <xdr:rowOff>190500</xdr:rowOff>
                  </from>
                  <to>
                    <xdr:col>2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2</xdr:col>
                    <xdr:colOff>1314450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10"/>
  <sheetViews>
    <sheetView workbookViewId="0">
      <selection activeCell="F16" sqref="F16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661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661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/>
      <c r="C7" s="43"/>
      <c r="D7" s="31"/>
      <c r="E7" s="1"/>
    </row>
    <row r="8" spans="1:5" x14ac:dyDescent="0.25">
      <c r="A8" s="28"/>
      <c r="B8" s="33"/>
      <c r="C8" s="33"/>
      <c r="D8" s="36"/>
      <c r="E8" s="37"/>
    </row>
    <row r="9" spans="1:5" x14ac:dyDescent="0.25">
      <c r="A9" s="7">
        <v>0</v>
      </c>
      <c r="B9" s="35"/>
      <c r="C9" s="35"/>
      <c r="D9" s="38"/>
      <c r="E9" s="39"/>
    </row>
    <row r="10" spans="1:5" ht="25.5" customHeight="1" x14ac:dyDescent="0.25">
      <c r="A10" s="6" t="s">
        <v>549</v>
      </c>
      <c r="B10" s="34"/>
      <c r="C10" s="34"/>
      <c r="D10" s="34"/>
      <c r="E10" s="40"/>
    </row>
  </sheetData>
  <sheetProtection algorithmName="SHA-512" hashValue="VCPBqIl2s7CYTgYvmizJg44VNi4ze88xcxrS/LUF8mtZlyaRWInfuVMfvZC14B++a4HY3k9u36Z1T7mt4KdqMg==" saltValue="03JbZqPXdbMXpaJwA0nBjA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8:D10" xr:uid="{00000000-0002-0000-0900-000001000000}"/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  <dataValidation type="date" allowBlank="1" showInputMessage="1" showErrorMessage="1" error="Please enter a valid date in mm/dd/yyyy format." sqref="B7:C7" xr:uid="{00000000-0002-0000-0900-000002000000}">
      <formula1>1</formula1>
      <formula2>73415</formula2>
    </dataValidation>
    <dataValidation type="decimal" allowBlank="1" showInputMessage="1" showErrorMessage="1" error="Please enter a valid reading." sqref="D7" xr:uid="{00000000-0002-0000-0900-000003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7</xdr:row>
                    <xdr:rowOff>190500</xdr:rowOff>
                  </from>
                  <to>
                    <xdr:col>2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10"/>
  <sheetViews>
    <sheetView workbookViewId="0">
      <selection activeCell="G10" sqref="G10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655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655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/>
      <c r="C7" s="43"/>
      <c r="D7" s="31"/>
      <c r="E7" s="1"/>
    </row>
    <row r="8" spans="1:5" x14ac:dyDescent="0.25">
      <c r="A8" s="28"/>
      <c r="B8" s="33"/>
      <c r="C8" s="33"/>
      <c r="D8" s="36"/>
      <c r="E8" s="37"/>
    </row>
    <row r="9" spans="1:5" x14ac:dyDescent="0.25">
      <c r="A9" s="7">
        <v>0</v>
      </c>
      <c r="B9" s="35"/>
      <c r="C9" s="35"/>
      <c r="D9" s="38"/>
      <c r="E9" s="39"/>
    </row>
    <row r="10" spans="1:5" ht="25.5" customHeight="1" x14ac:dyDescent="0.25">
      <c r="A10" s="6" t="s">
        <v>549</v>
      </c>
      <c r="B10" s="34"/>
      <c r="C10" s="34"/>
      <c r="D10" s="34"/>
      <c r="E10" s="40"/>
    </row>
  </sheetData>
  <sheetProtection algorithmName="SHA-512" hashValue="ZNCbBZo48MowLwbJkvMdm9GBdyInu3BvLjqAiIZTuYq2rVpgGHuXhBda7JQbFhSfinNN7Q/z17JrvtPoindV4A==" saltValue="+R+Ja3gnfUEnNhRgIHFK1A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8:D10" xr:uid="{00000000-0002-0000-0A00-000001000000}"/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  <dataValidation type="date" allowBlank="1" showInputMessage="1" showErrorMessage="1" error="Please enter a valid date in mm/dd/yyyy format." sqref="B7:C7" xr:uid="{00000000-0002-0000-0A00-000002000000}">
      <formula1>1</formula1>
      <formula2>73415</formula2>
    </dataValidation>
    <dataValidation type="decimal" allowBlank="1" showInputMessage="1" showErrorMessage="1" error="Please enter a valid reading." sqref="D7" xr:uid="{00000000-0002-0000-0A00-000003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7</xdr:row>
                    <xdr:rowOff>190500</xdr:rowOff>
                  </from>
                  <to>
                    <xdr:col>2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10"/>
  <sheetViews>
    <sheetView workbookViewId="0">
      <selection activeCell="F19" sqref="F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41" t="s">
        <v>659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41" t="s">
        <v>659</v>
      </c>
      <c r="E3" s="1"/>
    </row>
    <row r="4" spans="1:5" ht="15" customHeight="1" x14ac:dyDescent="0.25">
      <c r="A4" s="6"/>
      <c r="B4" s="94" t="s">
        <v>569</v>
      </c>
      <c r="C4" s="96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10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/>
      <c r="C7" s="43"/>
      <c r="D7" s="116"/>
      <c r="E7" s="1"/>
    </row>
    <row r="8" spans="1:5" x14ac:dyDescent="0.25">
      <c r="A8" s="28"/>
      <c r="B8" s="33"/>
      <c r="C8" s="33"/>
      <c r="D8" s="36"/>
      <c r="E8" s="37"/>
    </row>
    <row r="9" spans="1:5" x14ac:dyDescent="0.25">
      <c r="A9" s="7">
        <v>0</v>
      </c>
      <c r="B9" s="35"/>
      <c r="C9" s="35"/>
      <c r="D9" s="38"/>
      <c r="E9" s="39"/>
    </row>
    <row r="10" spans="1:5" ht="25.5" customHeight="1" x14ac:dyDescent="0.25">
      <c r="A10" s="6" t="s">
        <v>549</v>
      </c>
      <c r="B10" s="34"/>
      <c r="C10" s="34"/>
      <c r="D10" s="34"/>
      <c r="E10" s="40"/>
    </row>
  </sheetData>
  <sheetProtection algorithmName="SHA-512" hashValue="OwAiLcKnXq0zzppoyEQcL1l7x8+4gp7kYMfPeeTAGDrCvjFmDJ67oBosX4y4dL9EBrxaEudl5HcjjXrME6WCig==" saltValue="OLvKlHE/r9mpgwqHBLRs3w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8:D10" xr:uid="{00000000-0002-0000-0B00-000001000000}"/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  <dataValidation type="date" allowBlank="1" showInputMessage="1" showErrorMessage="1" error="Please enter a valid date in mm/dd/yyyy format." sqref="B7:C7" xr:uid="{00000000-0002-0000-0B00-000002000000}">
      <formula1>1</formula1>
      <formula2>73415</formula2>
    </dataValidation>
    <dataValidation type="decimal" allowBlank="1" showInputMessage="1" showErrorMessage="1" error="Please enter a valid reading." sqref="D7" xr:uid="{00000000-0002-0000-0B00-000003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7</xdr:row>
                    <xdr:rowOff>190500</xdr:rowOff>
                  </from>
                  <to>
                    <xdr:col>2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14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J17" sqref="J17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9" x14ac:dyDescent="0.25">
      <c r="A1" s="6" t="s">
        <v>580</v>
      </c>
      <c r="B1" s="1"/>
      <c r="C1" s="1"/>
      <c r="D1" s="1"/>
      <c r="E1" s="1"/>
      <c r="F1" s="1"/>
    </row>
    <row r="2" spans="1:9" x14ac:dyDescent="0.25">
      <c r="A2" s="6" t="s">
        <v>580</v>
      </c>
      <c r="B2" s="131" t="s">
        <v>568</v>
      </c>
      <c r="C2" s="132"/>
      <c r="D2" s="133"/>
      <c r="E2" s="42" t="s">
        <v>575</v>
      </c>
      <c r="F2" s="1"/>
    </row>
    <row r="3" spans="1:9" ht="15" customHeight="1" x14ac:dyDescent="0.25">
      <c r="A3" s="6" t="s">
        <v>580</v>
      </c>
      <c r="B3" s="134" t="s">
        <v>669</v>
      </c>
      <c r="C3" s="135"/>
      <c r="D3" s="136"/>
      <c r="E3" s="42" t="s">
        <v>559</v>
      </c>
      <c r="F3" s="1"/>
    </row>
    <row r="4" spans="1:9" ht="14.25" customHeight="1" x14ac:dyDescent="0.25">
      <c r="A4" s="6" t="s">
        <v>580</v>
      </c>
      <c r="B4" s="25" t="s">
        <v>569</v>
      </c>
      <c r="C4" s="26"/>
      <c r="D4" s="27"/>
      <c r="E4" s="29" t="s">
        <v>563</v>
      </c>
      <c r="F4" s="1"/>
    </row>
    <row r="5" spans="1:9" x14ac:dyDescent="0.25">
      <c r="A5" s="6" t="s">
        <v>580</v>
      </c>
      <c r="B5" s="1"/>
      <c r="C5" s="1"/>
      <c r="D5" s="1"/>
      <c r="E5" s="1"/>
      <c r="F5" s="1"/>
    </row>
    <row r="6" spans="1:9" ht="25.5" x14ac:dyDescent="0.25">
      <c r="A6" s="6">
        <v>10</v>
      </c>
      <c r="B6" s="4" t="s">
        <v>547</v>
      </c>
      <c r="C6" s="4" t="s">
        <v>548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9" x14ac:dyDescent="0.25">
      <c r="A7" s="6"/>
      <c r="B7" s="43">
        <v>43435</v>
      </c>
      <c r="C7" s="43">
        <v>43496</v>
      </c>
      <c r="D7" s="30">
        <v>111</v>
      </c>
      <c r="E7" s="30">
        <v>99</v>
      </c>
      <c r="F7" s="1"/>
    </row>
    <row r="8" spans="1:9" x14ac:dyDescent="0.25">
      <c r="A8" s="28"/>
      <c r="B8" s="33"/>
      <c r="C8" s="33"/>
      <c r="D8" s="36"/>
      <c r="E8" s="37"/>
      <c r="F8" s="1"/>
    </row>
    <row r="9" spans="1:9" hidden="1" x14ac:dyDescent="0.25">
      <c r="A9" s="7">
        <v>0</v>
      </c>
      <c r="B9" s="35"/>
      <c r="C9" s="35"/>
      <c r="D9" s="38"/>
      <c r="E9" s="39"/>
      <c r="F9" s="1"/>
    </row>
    <row r="10" spans="1:9" ht="25.5" customHeight="1" x14ac:dyDescent="0.25">
      <c r="A10" s="6" t="s">
        <v>549</v>
      </c>
      <c r="B10" s="34"/>
      <c r="C10" s="34"/>
      <c r="D10" s="34"/>
      <c r="E10" s="40"/>
      <c r="F10" s="1"/>
    </row>
    <row r="12" spans="1:9" x14ac:dyDescent="0.25">
      <c r="I12" s="3" t="s">
        <v>563</v>
      </c>
    </row>
    <row r="13" spans="1:9" x14ac:dyDescent="0.25">
      <c r="I13" s="3" t="s">
        <v>558</v>
      </c>
    </row>
    <row r="14" spans="1:9" x14ac:dyDescent="0.25">
      <c r="I14" s="3" t="s">
        <v>543</v>
      </c>
    </row>
  </sheetData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8:D10" xr:uid="{00000000-0002-0000-0C00-000001000000}"/>
    <dataValidation type="date" allowBlank="1" showInputMessage="1" showErrorMessage="1" error="Please enter a valid date in mm/dd/yyyy format." sqref="B7:C7" xr:uid="{00000000-0002-0000-0C00-000002000000}">
      <formula1>1</formula1>
      <formula2>54789</formula2>
    </dataValidation>
    <dataValidation type="decimal" allowBlank="1" showInputMessage="1" showErrorMessage="1" error="Please enter a valid reading." sqref="D7:E7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5EDB-362B-401E-8524-A3189D3728DD}">
  <sheetPr codeName="Sheet11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P11" sqref="P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580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10" x14ac:dyDescent="0.25">
      <c r="A2" s="6" t="s">
        <v>580</v>
      </c>
      <c r="B2" s="114" t="s">
        <v>568</v>
      </c>
      <c r="C2" s="103"/>
      <c r="D2" s="101" t="s">
        <v>676</v>
      </c>
      <c r="E2" s="1"/>
    </row>
    <row r="3" spans="1:10" x14ac:dyDescent="0.25">
      <c r="A3" s="6" t="s">
        <v>580</v>
      </c>
      <c r="B3" s="115" t="s">
        <v>669</v>
      </c>
      <c r="C3" s="104"/>
      <c r="D3" s="101" t="s">
        <v>648</v>
      </c>
      <c r="E3" s="1"/>
    </row>
    <row r="4" spans="1:10" x14ac:dyDescent="0.25">
      <c r="A4" s="6" t="s">
        <v>580</v>
      </c>
      <c r="B4" s="115" t="s">
        <v>569</v>
      </c>
      <c r="C4" s="104"/>
      <c r="D4" s="101" t="s">
        <v>533</v>
      </c>
      <c r="E4" s="1"/>
    </row>
    <row r="5" spans="1:10" x14ac:dyDescent="0.25">
      <c r="A5" s="6" t="s">
        <v>580</v>
      </c>
      <c r="B5" s="44" t="s">
        <v>666</v>
      </c>
      <c r="C5" s="105"/>
      <c r="D5" s="106"/>
      <c r="E5" s="1"/>
    </row>
    <row r="6" spans="1:10" ht="24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>
        <v>43435</v>
      </c>
      <c r="C7" s="43">
        <v>43496</v>
      </c>
      <c r="D7" s="30">
        <v>2000</v>
      </c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648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674</v>
      </c>
    </row>
    <row r="11" spans="1:10" x14ac:dyDescent="0.25">
      <c r="J11" s="5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dataValidations count="6">
    <dataValidation type="textLength" allowBlank="1" showInputMessage="1" showErrorMessage="1" errorTitle=" Data Source" error="it can be accept 40 characters." sqref="D5" xr:uid="{CF00F761-34D2-4D86-BAB2-B2A8BE53770E}">
      <formula1>0</formula1>
      <formula2>40</formula2>
    </dataValidation>
    <dataValidation allowBlank="1" showInputMessage="1" showErrorMessage="1" error="Please enter a valid date in mm/dd/yyyy format." sqref="B8:D10" xr:uid="{7A4436D1-1C4C-4D8D-BB4E-D3513EC763E8}"/>
    <dataValidation type="list" allowBlank="1" showInputMessage="1" showErrorMessage="1" sqref="D3" xr:uid="{37DFFBE9-C474-4689-A00B-16BCA15AABF2}">
      <formula1>ElectricityDrp</formula1>
    </dataValidation>
    <dataValidation type="list" allowBlank="1" showInputMessage="1" showErrorMessage="1" error="Units cannot edit." sqref="D4" xr:uid="{45431F7B-EC9D-4FD0-BDFF-E21A3729BDAB}">
      <formula1>elecName</formula1>
    </dataValidation>
    <dataValidation type="decimal" allowBlank="1" showInputMessage="1" showErrorMessage="1" error="Please enter a valid reading." sqref="D7" xr:uid="{DCB1BA1B-50FB-4BB5-B058-37E3706125FA}">
      <formula1>0</formula1>
      <formula2>99999999</formula2>
    </dataValidation>
    <dataValidation type="date" allowBlank="1" showInputMessage="1" showErrorMessage="1" error="Please enter a valid date in mm/dd/yyyy format." sqref="B7:C7" xr:uid="{58141402-486E-4294-9CFD-8CA0DCAC6D5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BBA72-9FB3-4A0E-B736-83D0D6848618}">
  <sheetPr codeName="Sheet16"/>
  <dimension ref="A1:I39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O16" sqref="O16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580</v>
      </c>
      <c r="B1" s="6" t="str">
        <f ca="1">MID(CELL("filename",A1),FIND("]",CELL("filename",A1))+1,256)</f>
        <v>AnalyticsWater meter via upload</v>
      </c>
      <c r="C1" s="1"/>
      <c r="D1" s="6" t="str">
        <f ca="1">B1</f>
        <v>AnalyticsWater meter via upload</v>
      </c>
      <c r="E1" s="1"/>
    </row>
    <row r="2" spans="1:9" x14ac:dyDescent="0.25">
      <c r="A2" s="6" t="s">
        <v>580</v>
      </c>
      <c r="B2" s="114" t="s">
        <v>568</v>
      </c>
      <c r="C2" s="103"/>
      <c r="D2" s="101" t="s">
        <v>677</v>
      </c>
      <c r="E2" s="1"/>
    </row>
    <row r="3" spans="1:9" x14ac:dyDescent="0.25">
      <c r="A3" s="6" t="s">
        <v>580</v>
      </c>
      <c r="B3" s="115" t="s">
        <v>669</v>
      </c>
      <c r="C3" s="104"/>
      <c r="D3" s="101" t="s">
        <v>649</v>
      </c>
      <c r="E3" s="1"/>
    </row>
    <row r="4" spans="1:9" x14ac:dyDescent="0.25">
      <c r="A4" s="6" t="s">
        <v>580</v>
      </c>
      <c r="B4" s="115" t="s">
        <v>569</v>
      </c>
      <c r="C4" s="104"/>
      <c r="D4" s="101" t="s">
        <v>528</v>
      </c>
      <c r="E4" s="1"/>
    </row>
    <row r="5" spans="1:9" x14ac:dyDescent="0.25">
      <c r="A5" s="6" t="s">
        <v>580</v>
      </c>
      <c r="B5" s="44" t="s">
        <v>666</v>
      </c>
      <c r="C5" s="105"/>
      <c r="D5" s="97"/>
      <c r="E5" s="1"/>
    </row>
    <row r="6" spans="1:9" ht="24.75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>
        <v>43435</v>
      </c>
      <c r="C7" s="43">
        <v>43496</v>
      </c>
      <c r="D7" s="30">
        <v>5.4566999999999997</v>
      </c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s="5" t="s">
        <v>649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s="5" t="s">
        <v>650</v>
      </c>
    </row>
    <row r="11" spans="1:9" x14ac:dyDescent="0.25">
      <c r="I11" s="5" t="s">
        <v>651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652</v>
      </c>
    </row>
    <row r="28" spans="8:8" x14ac:dyDescent="0.25">
      <c r="H28" s="5" t="s">
        <v>653</v>
      </c>
    </row>
    <row r="29" spans="8:8" x14ac:dyDescent="0.25">
      <c r="H29" s="5" t="s">
        <v>647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QIBsC+L4UUzOom8YUXlhK9+aC+k2L4FK8txrtlrT+RM6/T+B9sc29BT+LPyyZiDwm1tEnT6ers5e/1QiGXhSsg==" saltValue="uUKlTNejUeOktUv3yOsXiw==" spinCount="100000" sheet="1" objects="1" scenarios="1"/>
  <dataValidations count="6">
    <dataValidation type="textLength" allowBlank="1" showInputMessage="1" showErrorMessage="1" errorTitle=" Data Source" error="it can be accept 40 characters." sqref="D5" xr:uid="{92186913-F02F-4072-88FF-54AE831AA32C}">
      <formula1>0</formula1>
      <formula2>40</formula2>
    </dataValidation>
    <dataValidation allowBlank="1" showInputMessage="1" showErrorMessage="1" error="Please enter a valid date in mm/dd/yyyy format." sqref="B8:D10" xr:uid="{F7550238-8368-4EFD-BCBE-BA9499398721}"/>
    <dataValidation type="list" allowBlank="1" showInputMessage="1" showErrorMessage="1" sqref="D3" xr:uid="{BB39DCF3-B071-454B-8BDE-238776C66DE3}">
      <formula1>WaterDrp</formula1>
    </dataValidation>
    <dataValidation type="list" allowBlank="1" showInputMessage="1" showErrorMessage="1" error="Units cannot edit." sqref="D4" xr:uid="{5B243767-88A2-44FF-AECE-8CD7C1F70986}">
      <formula1>watUni</formula1>
    </dataValidation>
    <dataValidation type="decimal" allowBlank="1" showInputMessage="1" showErrorMessage="1" error="Please enter a valid reading." sqref="D7" xr:uid="{50AEE6B7-3848-4048-96B0-EB6B9BBB02EF}">
      <formula1>0</formula1>
      <formula2>99999999</formula2>
    </dataValidation>
    <dataValidation type="date" allowBlank="1" showInputMessage="1" showErrorMessage="1" error="Please enter a valid date in mm/dd/yyyy format." sqref="B7:C7" xr:uid="{5371371F-4471-4015-9690-0B100020D14D}">
      <formula1>1</formula1>
      <formula2>54789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AnalyticsWater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'AnalyticsWater meter via upload'!WaterDrp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'AnalyticsWater meter via upload'!watUni</vt:lpstr>
      <vt:lpstr>watUni</vt:lpstr>
      <vt:lpstr>waUn</vt:lpstr>
      <vt:lpstr>waunit</vt:lpstr>
      <vt:lpstr>Wood</vt:lpstr>
      <vt:lpstr>woods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 10</cp:lastModifiedBy>
  <dcterms:created xsi:type="dcterms:W3CDTF">2014-11-12T06:32:08Z</dcterms:created>
  <dcterms:modified xsi:type="dcterms:W3CDTF">2018-12-27T05:41:15Z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