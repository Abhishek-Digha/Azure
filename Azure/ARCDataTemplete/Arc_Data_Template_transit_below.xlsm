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atalon\AutomationArc\Automation\ARCDataTemplete\"/>
    </mc:Choice>
  </mc:AlternateContent>
  <xr:revisionPtr revIDLastSave="0" documentId="10_ncr:100000_{8DE2EFE3-2EB7-4AC5-B269-321DEEB369FD}" xr6:coauthVersionLast="31" xr6:coauthVersionMax="31" xr10:uidLastSave="{00000000-0000-0000-0000-000000000000}"/>
  <workbookProtection workbookAlgorithmName="SHA-512" workbookHashValue="hItfJi2oI9/ssNOHJepvV4UY5JLxZObpnnCCSoYn4+HwUTxrtDwez2eWYz41cwLzBKs8GYhq+TewcZfn0p9Enw==" workbookSaltValue="U+soeD+bf++z1kWIK2LCTw==" workbookSpinCount="100000" lockStructure="1"/>
  <bookViews>
    <workbookView xWindow="0" yWindow="0" windowWidth="20490" windowHeight="8985" firstSheet="5" activeTab="8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CO2 Reading for Upload" sheetId="12" r:id="rId5"/>
    <sheet name="CO2 Readings" sheetId="14" r:id="rId6"/>
    <sheet name="TVOC Reading for Upload" sheetId="13" r:id="rId7"/>
    <sheet name="TVOC Readings" sheetId="15" r:id="rId8"/>
    <sheet name="Waste Stream" sheetId="11" r:id="rId9"/>
    <sheet name="Water Meter via upload" sheetId="16" r:id="rId10"/>
    <sheet name="Energy Meter via Upload" sheetId="17" r:id="rId11"/>
    <sheet name="base_summary" sheetId="3" state="hidden" r:id="rId12"/>
  </sheets>
  <definedNames>
    <definedName name="_xlnm._FilterDatabase" localSheetId="5" hidden="1">'CO2 Readings'!$B$2:$F$4</definedName>
    <definedName name="_xlnm._FilterDatabase" localSheetId="7" hidden="1">'TVOC Readings'!$B$2:$G$4</definedName>
    <definedName name="columnDelete">'CO2 Readings'!$17:$17</definedName>
    <definedName name="columnDeleteVOC">'TVOC Readings'!$17:$17</definedName>
    <definedName name="Countries">Setup!$L$29:$M$272</definedName>
    <definedName name="CountriesDetails">Setup!$L$29:$L$272</definedName>
    <definedName name="countryName">Setup!$L$28:$L$272</definedName>
    <definedName name="DataCopy">'CO2 Readings'!$A$37:$E$37</definedName>
    <definedName name="DataCopyVOC">'TVOC Readings'!$A$32:$E$32</definedName>
    <definedName name="Dates">'CO2 Readings'!$33:$33</definedName>
    <definedName name="DatesVOC">'TVOC Readings'!$28:$28</definedName>
    <definedName name="DelRwNmEnd">'CO2 Reading for Upload'!$A$22:$E$22</definedName>
    <definedName name="DelRwNmEndVOC">'TVOC Reading for Upload'!$A$22:$E$22</definedName>
    <definedName name="DelRwNmStart">'CO2 Reading for Upload'!$A$6:$E$6</definedName>
    <definedName name="DelRwNmStartVOC">'TVOC Reading for Upload'!$A$6:$E$6</definedName>
    <definedName name="elecName" localSheetId="10">'Energy Meter via Upload'!$G$27:$G$31</definedName>
    <definedName name="elecName">base_e!$G$15:$G$19</definedName>
    <definedName name="ElectricityDrp" localSheetId="10">'Energy Meter via Upload'!$J$21:$J$22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9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Types">Setup!$L$275:$L$301</definedName>
    <definedName name="myCategoryH">base_f!$G$19:$G$36</definedName>
    <definedName name="myitem" localSheetId="10">OFFSET(myItemList,0,0,COUNTA(myItemList),1)</definedName>
    <definedName name="myitem" localSheetId="9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Stream'!$I$24:$I$26</definedName>
    <definedName name="Other_Fuels_Drp">base_f!$V$10</definedName>
    <definedName name="Period__Start_Date" localSheetId="9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Upload'!$B$6:$B$22</definedName>
    <definedName name="RangeCountVOC">'TVOC Reading for Upload'!$B$6:$B$22</definedName>
    <definedName name="ReadingTable">'CO2 Readings'!$33:$34</definedName>
    <definedName name="ReadingTableVOC">'TVOC Readings'!$28:$29</definedName>
    <definedName name="Sheets">TRANSPOSE(GET.WORKBOOK(1))&amp;T(NOW())</definedName>
    <definedName name="spacetype">Setup!$S$30:$S$85</definedName>
    <definedName name="sumAnchor">'CO2 Readings'!$F$17:$F$34</definedName>
    <definedName name="sumAnchorVOC">'TVOC Readings'!$G$17:$G$29</definedName>
    <definedName name="sumDate">'CO2 Readings'!$G$17:$G$34</definedName>
    <definedName name="sumDateVOC">'TVOC Readings'!$H$17:$H$29</definedName>
    <definedName name="UniqueDate">'CO2 Readings'!$B$40</definedName>
    <definedName name="UniqueDateVOC">'TVOC Readings'!$B$35</definedName>
    <definedName name="UniqueLoc">'CO2 Readings'!$C$40</definedName>
    <definedName name="UniqueLocVOC">'TVOC Readings'!$C$35</definedName>
    <definedName name="Units">Setup!$M$5:$M$6</definedName>
    <definedName name="UserFormat">'CO2 Readings'!$A$43:$E$43</definedName>
    <definedName name="validUnits">Setup!$L$304:$L$322</definedName>
    <definedName name="water_meter_type" localSheetId="9">'Water Meter via upload'!$H$39:$I$51</definedName>
    <definedName name="water_meter_type">base_w!$H$27:$I$39</definedName>
    <definedName name="water_type" localSheetId="9">'Water Meter via upload'!$H$39:$I$51</definedName>
    <definedName name="water_type">base_w!$H$27:$I$39</definedName>
    <definedName name="water_units" localSheetId="9">'Water Meter via upload'!$H$27:$H$35</definedName>
    <definedName name="water_units">base_w!$H$15:$H$23</definedName>
    <definedName name="WaterDrp" localSheetId="9">'Water Meter via upload'!$I$21:$I$23</definedName>
    <definedName name="WaterDrp">base_w!$I$9:$I$11</definedName>
    <definedName name="waterType" localSheetId="9">'Water Meter via upload'!$H$39:$H$51</definedName>
    <definedName name="waterType">base_w!$H$27:$H$39</definedName>
    <definedName name="waterUnits" localSheetId="9">'Water Meter via upload'!$J$22:$J$26</definedName>
    <definedName name="waterUnits">base_w!$J$10:$J$14</definedName>
    <definedName name="watUn" localSheetId="9">'Water Meter via upload'!$H$27:$H$35</definedName>
    <definedName name="watUn">base_w!$H$15:$H$23</definedName>
    <definedName name="watUni" localSheetId="9">'Water Meter via upload'!$H$27:$H$41</definedName>
    <definedName name="watUni">base_w!$H$15:$H$29</definedName>
    <definedName name="waUn">'Waste Stream'!$I$24:$I$30</definedName>
    <definedName name="waunit">'Waste Stream'!$J$21:$J$23</definedName>
    <definedName name="Wood">base_f!$H$16:$H$27</definedName>
    <definedName name="woods">base_f!$H$16:$H$22</definedName>
    <definedName name="woodunit">base_f!$H$16:$H$22</definedName>
    <definedName name="zep" localSheetId="9">'Water Meter via upload'!$J$20</definedName>
    <definedName name="zep">base_w!$J$8</definedName>
  </definedNames>
  <calcPr calcId="179017"/>
</workbook>
</file>

<file path=xl/calcChain.xml><?xml version="1.0" encoding="utf-8"?>
<calcChain xmlns="http://schemas.openxmlformats.org/spreadsheetml/2006/main">
  <c r="E8" i="13" l="1"/>
  <c r="B8" i="13" s="1"/>
  <c r="E9" i="13"/>
  <c r="E10" i="13" s="1"/>
  <c r="E7" i="13"/>
  <c r="B7" i="13"/>
  <c r="D7" i="13" s="1" a="1"/>
  <c r="D7" i="13" s="1"/>
  <c r="A7" i="13" s="1"/>
  <c r="T19" i="15" a="1"/>
  <c r="T19" i="15" s="1"/>
  <c r="S19" i="15" a="1"/>
  <c r="S19" i="15" s="1"/>
  <c r="R19" i="15" a="1"/>
  <c r="R19" i="15" s="1"/>
  <c r="Q19" i="15" a="1"/>
  <c r="Q19" i="15" s="1"/>
  <c r="P19" i="15" a="1"/>
  <c r="P19" i="15" s="1"/>
  <c r="O19" i="15" a="1"/>
  <c r="O19" i="15" s="1"/>
  <c r="N19" i="15" a="1"/>
  <c r="N19" i="15" s="1"/>
  <c r="M19" i="15" a="1"/>
  <c r="M19" i="15" s="1"/>
  <c r="L19" i="15" a="1"/>
  <c r="L19" i="15" s="1"/>
  <c r="K19" i="15" a="1"/>
  <c r="K19" i="15" s="1"/>
  <c r="J19" i="15" a="1"/>
  <c r="J19" i="15" s="1"/>
  <c r="I19" i="15" a="1"/>
  <c r="I19" i="15" s="1"/>
  <c r="S19" i="14" a="1"/>
  <c r="S19" i="14" s="1"/>
  <c r="R19" i="14" a="1"/>
  <c r="R19" i="14" s="1"/>
  <c r="Q19" i="14" a="1"/>
  <c r="Q19" i="14" s="1"/>
  <c r="P19" i="14" a="1"/>
  <c r="P19" i="14" s="1"/>
  <c r="O19" i="14" a="1"/>
  <c r="O19" i="14" s="1"/>
  <c r="N19" i="14" a="1"/>
  <c r="N19" i="14" s="1"/>
  <c r="M19" i="14" a="1"/>
  <c r="M19" i="14" s="1"/>
  <c r="L19" i="14" a="1"/>
  <c r="L19" i="14" s="1"/>
  <c r="K19" i="14" a="1"/>
  <c r="K19" i="14" s="1"/>
  <c r="J19" i="14" a="1"/>
  <c r="J19" i="14" s="1"/>
  <c r="I19" i="14" a="1"/>
  <c r="I19" i="14" s="1"/>
  <c r="H19" i="14" a="1"/>
  <c r="H19" i="14" s="1"/>
  <c r="E8" i="12"/>
  <c r="E9" i="12" s="1"/>
  <c r="E7" i="12"/>
  <c r="B10" i="13" l="1"/>
  <c r="E11" i="13"/>
  <c r="C8" i="13"/>
  <c r="D8" i="13" a="1"/>
  <c r="D8" i="13" s="1"/>
  <c r="A8" i="13" s="1"/>
  <c r="B9" i="13"/>
  <c r="C7" i="13"/>
  <c r="T28" i="15"/>
  <c r="T24" i="15" a="1"/>
  <c r="T24" i="15" s="1"/>
  <c r="T22" i="15" a="1"/>
  <c r="T22" i="15" s="1"/>
  <c r="T17" i="15"/>
  <c r="T25" i="15" a="1"/>
  <c r="T25" i="15" s="1"/>
  <c r="T23" i="15" a="1"/>
  <c r="T23" i="15" s="1"/>
  <c r="T21" i="15" a="1"/>
  <c r="T21" i="15" s="1"/>
  <c r="S28" i="15"/>
  <c r="S17" i="15"/>
  <c r="S23" i="15" a="1"/>
  <c r="S23" i="15" s="1"/>
  <c r="S22" i="15" a="1"/>
  <c r="S22" i="15" s="1"/>
  <c r="S25" i="15" a="1"/>
  <c r="S25" i="15" s="1"/>
  <c r="S21" i="15" a="1"/>
  <c r="S21" i="15" s="1"/>
  <c r="S24" i="15" a="1"/>
  <c r="S24" i="15" s="1"/>
  <c r="R17" i="15"/>
  <c r="R23" i="15" a="1"/>
  <c r="R23" i="15" s="1"/>
  <c r="R24" i="15" a="1"/>
  <c r="R24" i="15" s="1"/>
  <c r="R25" i="15" a="1"/>
  <c r="R25" i="15" s="1"/>
  <c r="R21" i="15" a="1"/>
  <c r="R21" i="15" s="1"/>
  <c r="R28" i="15"/>
  <c r="R22" i="15" a="1"/>
  <c r="R22" i="15" s="1"/>
  <c r="Q28" i="15"/>
  <c r="Q24" i="15" a="1"/>
  <c r="Q24" i="15" s="1"/>
  <c r="Q22" i="15" a="1"/>
  <c r="Q22" i="15" s="1"/>
  <c r="Q17" i="15"/>
  <c r="Q25" i="15" a="1"/>
  <c r="Q25" i="15" s="1"/>
  <c r="Q23" i="15" a="1"/>
  <c r="Q23" i="15" s="1"/>
  <c r="Q21" i="15" a="1"/>
  <c r="Q21" i="15" s="1"/>
  <c r="P28" i="15"/>
  <c r="P24" i="15" a="1"/>
  <c r="P24" i="15" s="1"/>
  <c r="P22" i="15" a="1"/>
  <c r="P22" i="15" s="1"/>
  <c r="P17" i="15"/>
  <c r="P25" i="15" a="1"/>
  <c r="P25" i="15" s="1"/>
  <c r="P23" i="15" a="1"/>
  <c r="P23" i="15" s="1"/>
  <c r="P21" i="15" a="1"/>
  <c r="P21" i="15" s="1"/>
  <c r="P29" i="15" s="1"/>
  <c r="O28" i="15"/>
  <c r="O24" i="15" a="1"/>
  <c r="O24" i="15" s="1"/>
  <c r="O22" i="15" a="1"/>
  <c r="O22" i="15" s="1"/>
  <c r="O17" i="15"/>
  <c r="O25" i="15" a="1"/>
  <c r="O25" i="15" s="1"/>
  <c r="O23" i="15" a="1"/>
  <c r="O23" i="15" s="1"/>
  <c r="O21" i="15" a="1"/>
  <c r="O21" i="15" s="1"/>
  <c r="N17" i="15"/>
  <c r="N23" i="15" a="1"/>
  <c r="N23" i="15" s="1"/>
  <c r="N28" i="15"/>
  <c r="N22" i="15" a="1"/>
  <c r="N22" i="15" s="1"/>
  <c r="N25" i="15" a="1"/>
  <c r="N25" i="15" s="1"/>
  <c r="N21" i="15" a="1"/>
  <c r="N21" i="15" s="1"/>
  <c r="N29" i="15" s="1"/>
  <c r="N24" i="15" a="1"/>
  <c r="N24" i="15" s="1"/>
  <c r="M28" i="15"/>
  <c r="M24" i="15" a="1"/>
  <c r="M24" i="15" s="1"/>
  <c r="M22" i="15" a="1"/>
  <c r="M22" i="15" s="1"/>
  <c r="M17" i="15"/>
  <c r="M25" i="15" a="1"/>
  <c r="M25" i="15" s="1"/>
  <c r="M23" i="15" a="1"/>
  <c r="M23" i="15" s="1"/>
  <c r="M21" i="15" a="1"/>
  <c r="M21" i="15" s="1"/>
  <c r="L28" i="15"/>
  <c r="L24" i="15" a="1"/>
  <c r="L24" i="15" s="1"/>
  <c r="L22" i="15" a="1"/>
  <c r="L22" i="15" s="1"/>
  <c r="L17" i="15"/>
  <c r="L25" i="15" a="1"/>
  <c r="L25" i="15" s="1"/>
  <c r="L23" i="15" a="1"/>
  <c r="L23" i="15" s="1"/>
  <c r="L21" i="15" a="1"/>
  <c r="L21" i="15" s="1"/>
  <c r="L29" i="15" s="1"/>
  <c r="K28" i="15"/>
  <c r="K24" i="15" a="1"/>
  <c r="K24" i="15" s="1"/>
  <c r="K22" i="15" a="1"/>
  <c r="K22" i="15" s="1"/>
  <c r="K17" i="15"/>
  <c r="K25" i="15" a="1"/>
  <c r="K25" i="15" s="1"/>
  <c r="K23" i="15" a="1"/>
  <c r="K23" i="15" s="1"/>
  <c r="K21" i="15" a="1"/>
  <c r="K21" i="15" s="1"/>
  <c r="K29" i="15" s="1"/>
  <c r="J22" i="15" a="1"/>
  <c r="J22" i="15" s="1"/>
  <c r="J28" i="15"/>
  <c r="J24" i="15" a="1"/>
  <c r="J24" i="15" s="1"/>
  <c r="J17" i="15"/>
  <c r="J23" i="15" a="1"/>
  <c r="J23" i="15" s="1"/>
  <c r="J21" i="15" a="1"/>
  <c r="J21" i="15" s="1"/>
  <c r="J25" i="15" a="1"/>
  <c r="J25" i="15" s="1"/>
  <c r="I28" i="15"/>
  <c r="I24" i="15" a="1"/>
  <c r="I24" i="15" s="1"/>
  <c r="I22" i="15" a="1"/>
  <c r="I22" i="15" s="1"/>
  <c r="I17" i="15"/>
  <c r="I25" i="15" a="1"/>
  <c r="I25" i="15" s="1"/>
  <c r="I23" i="15" a="1"/>
  <c r="I23" i="15" s="1"/>
  <c r="I21" i="15" a="1"/>
  <c r="I21" i="15" s="1"/>
  <c r="S17" i="14"/>
  <c r="S27" i="14" a="1"/>
  <c r="S27" i="14" s="1"/>
  <c r="S21" i="14" a="1"/>
  <c r="S21" i="14" s="1"/>
  <c r="S28" i="14" a="1"/>
  <c r="S28" i="14" s="1"/>
  <c r="S22" i="14" a="1"/>
  <c r="S22" i="14" s="1"/>
  <c r="S33" i="14"/>
  <c r="S29" i="14" a="1"/>
  <c r="S29" i="14" s="1"/>
  <c r="S25" i="14" a="1"/>
  <c r="S25" i="14" s="1"/>
  <c r="S23" i="14" a="1"/>
  <c r="S23" i="14" s="1"/>
  <c r="S30" i="14" a="1"/>
  <c r="S30" i="14" s="1"/>
  <c r="S24" i="14" a="1"/>
  <c r="S24" i="14" s="1"/>
  <c r="S26" i="14" a="1"/>
  <c r="S26" i="14" s="1"/>
  <c r="R33" i="14"/>
  <c r="R29" i="14" a="1"/>
  <c r="R29" i="14" s="1"/>
  <c r="R27" i="14" a="1"/>
  <c r="R27" i="14" s="1"/>
  <c r="R25" i="14" a="1"/>
  <c r="R25" i="14" s="1"/>
  <c r="R23" i="14" a="1"/>
  <c r="R23" i="14" s="1"/>
  <c r="R21" i="14" a="1"/>
  <c r="R21" i="14" s="1"/>
  <c r="R17" i="14"/>
  <c r="R30" i="14" a="1"/>
  <c r="R30" i="14" s="1"/>
  <c r="R28" i="14" a="1"/>
  <c r="R28" i="14" s="1"/>
  <c r="R26" i="14" a="1"/>
  <c r="R26" i="14" s="1"/>
  <c r="R24" i="14" a="1"/>
  <c r="R24" i="14" s="1"/>
  <c r="R22" i="14" a="1"/>
  <c r="R22" i="14" s="1"/>
  <c r="Q17" i="14"/>
  <c r="Q27" i="14" a="1"/>
  <c r="Q27" i="14" s="1"/>
  <c r="Q23" i="14" a="1"/>
  <c r="Q23" i="14" s="1"/>
  <c r="Q24" i="14" a="1"/>
  <c r="Q24" i="14" s="1"/>
  <c r="Q33" i="14"/>
  <c r="Q29" i="14" a="1"/>
  <c r="Q29" i="14" s="1"/>
  <c r="Q25" i="14" a="1"/>
  <c r="Q25" i="14" s="1"/>
  <c r="Q21" i="14" a="1"/>
  <c r="Q21" i="14" s="1"/>
  <c r="Q30" i="14" a="1"/>
  <c r="Q30" i="14" s="1"/>
  <c r="Q28" i="14" a="1"/>
  <c r="Q28" i="14" s="1"/>
  <c r="Q26" i="14" a="1"/>
  <c r="Q26" i="14" s="1"/>
  <c r="Q22" i="14" a="1"/>
  <c r="Q22" i="14" s="1"/>
  <c r="P17" i="14"/>
  <c r="P33" i="14"/>
  <c r="P29" i="14" a="1"/>
  <c r="P29" i="14" s="1"/>
  <c r="P27" i="14" a="1"/>
  <c r="P27" i="14" s="1"/>
  <c r="P25" i="14" a="1"/>
  <c r="P25" i="14" s="1"/>
  <c r="P23" i="14" a="1"/>
  <c r="P23" i="14" s="1"/>
  <c r="P21" i="14" a="1"/>
  <c r="P21" i="14" s="1"/>
  <c r="P30" i="14" a="1"/>
  <c r="P30" i="14" s="1"/>
  <c r="P28" i="14" a="1"/>
  <c r="P28" i="14" s="1"/>
  <c r="P26" i="14" a="1"/>
  <c r="P26" i="14" s="1"/>
  <c r="P24" i="14" a="1"/>
  <c r="P24" i="14" s="1"/>
  <c r="P22" i="14" a="1"/>
  <c r="P22" i="14" s="1"/>
  <c r="O17" i="14"/>
  <c r="O27" i="14" a="1"/>
  <c r="O27" i="14" s="1"/>
  <c r="O21" i="14" a="1"/>
  <c r="O21" i="14" s="1"/>
  <c r="O22" i="14" a="1"/>
  <c r="O22" i="14" s="1"/>
  <c r="O33" i="14"/>
  <c r="O29" i="14" a="1"/>
  <c r="O29" i="14" s="1"/>
  <c r="O25" i="14" a="1"/>
  <c r="O25" i="14" s="1"/>
  <c r="O23" i="14" a="1"/>
  <c r="O23" i="14" s="1"/>
  <c r="O24" i="14" a="1"/>
  <c r="O24" i="14" s="1"/>
  <c r="O30" i="14" a="1"/>
  <c r="O30" i="14" s="1"/>
  <c r="O28" i="14" a="1"/>
  <c r="O28" i="14" s="1"/>
  <c r="O26" i="14" a="1"/>
  <c r="O26" i="14" s="1"/>
  <c r="N17" i="14"/>
  <c r="N27" i="14" a="1"/>
  <c r="N27" i="14" s="1"/>
  <c r="N23" i="14" a="1"/>
  <c r="N23" i="14" s="1"/>
  <c r="N24" i="14" a="1"/>
  <c r="N24" i="14" s="1"/>
  <c r="N33" i="14"/>
  <c r="N29" i="14" a="1"/>
  <c r="N29" i="14" s="1"/>
  <c r="N25" i="14" a="1"/>
  <c r="N25" i="14" s="1"/>
  <c r="N21" i="14" a="1"/>
  <c r="N21" i="14" s="1"/>
  <c r="N34" i="14" s="1"/>
  <c r="N22" i="14" a="1"/>
  <c r="N22" i="14" s="1"/>
  <c r="N30" i="14" a="1"/>
  <c r="N30" i="14" s="1"/>
  <c r="N28" i="14" a="1"/>
  <c r="N28" i="14" s="1"/>
  <c r="N26" i="14" a="1"/>
  <c r="N26" i="14" s="1"/>
  <c r="M17" i="14"/>
  <c r="M27" i="14" a="1"/>
  <c r="M27" i="14" s="1"/>
  <c r="M23" i="14" a="1"/>
  <c r="M23" i="14" s="1"/>
  <c r="M28" i="14" a="1"/>
  <c r="M28" i="14" s="1"/>
  <c r="M24" i="14" a="1"/>
  <c r="M24" i="14" s="1"/>
  <c r="M22" i="14" a="1"/>
  <c r="M22" i="14" s="1"/>
  <c r="M33" i="14"/>
  <c r="M29" i="14" a="1"/>
  <c r="M29" i="14" s="1"/>
  <c r="M25" i="14" a="1"/>
  <c r="M25" i="14" s="1"/>
  <c r="M21" i="14" a="1"/>
  <c r="M21" i="14" s="1"/>
  <c r="M30" i="14" a="1"/>
  <c r="M30" i="14" s="1"/>
  <c r="M26" i="14" a="1"/>
  <c r="M26" i="14" s="1"/>
  <c r="L17" i="14"/>
  <c r="L33" i="14"/>
  <c r="L29" i="14" a="1"/>
  <c r="L29" i="14" s="1"/>
  <c r="L27" i="14" a="1"/>
  <c r="L27" i="14" s="1"/>
  <c r="L25" i="14" a="1"/>
  <c r="L25" i="14" s="1"/>
  <c r="L23" i="14" a="1"/>
  <c r="L23" i="14" s="1"/>
  <c r="L21" i="14" a="1"/>
  <c r="L21" i="14" s="1"/>
  <c r="L30" i="14" a="1"/>
  <c r="L30" i="14" s="1"/>
  <c r="L28" i="14" a="1"/>
  <c r="L28" i="14" s="1"/>
  <c r="L26" i="14" a="1"/>
  <c r="L26" i="14" s="1"/>
  <c r="L22" i="14" a="1"/>
  <c r="L22" i="14" s="1"/>
  <c r="L24" i="14" a="1"/>
  <c r="L24" i="14" s="1"/>
  <c r="K17" i="14"/>
  <c r="K27" i="14" a="1"/>
  <c r="K27" i="14" s="1"/>
  <c r="K21" i="14" a="1"/>
  <c r="K21" i="14" s="1"/>
  <c r="K33" i="14"/>
  <c r="K29" i="14" a="1"/>
  <c r="K29" i="14" s="1"/>
  <c r="K25" i="14" a="1"/>
  <c r="K25" i="14" s="1"/>
  <c r="K23" i="14" a="1"/>
  <c r="K23" i="14" s="1"/>
  <c r="K22" i="14" a="1"/>
  <c r="K22" i="14" s="1"/>
  <c r="K30" i="14" a="1"/>
  <c r="K30" i="14" s="1"/>
  <c r="K28" i="14" a="1"/>
  <c r="K28" i="14" s="1"/>
  <c r="K26" i="14" a="1"/>
  <c r="K26" i="14" s="1"/>
  <c r="K24" i="14" a="1"/>
  <c r="K24" i="14" s="1"/>
  <c r="J17" i="14"/>
  <c r="J27" i="14" a="1"/>
  <c r="J27" i="14" s="1"/>
  <c r="J23" i="14" a="1"/>
  <c r="J23" i="14" s="1"/>
  <c r="J24" i="14" a="1"/>
  <c r="J24" i="14" s="1"/>
  <c r="J33" i="14"/>
  <c r="J29" i="14" a="1"/>
  <c r="J29" i="14" s="1"/>
  <c r="J25" i="14" a="1"/>
  <c r="J25" i="14" s="1"/>
  <c r="J21" i="14" a="1"/>
  <c r="J21" i="14" s="1"/>
  <c r="J22" i="14" a="1"/>
  <c r="J22" i="14" s="1"/>
  <c r="J30" i="14" a="1"/>
  <c r="J30" i="14" s="1"/>
  <c r="J28" i="14" a="1"/>
  <c r="J28" i="14" s="1"/>
  <c r="J26" i="14" a="1"/>
  <c r="J26" i="14" s="1"/>
  <c r="I17" i="14"/>
  <c r="I27" i="14" a="1"/>
  <c r="I27" i="14" s="1"/>
  <c r="I21" i="14" a="1"/>
  <c r="I21" i="14" s="1"/>
  <c r="I33" i="14"/>
  <c r="I29" i="14" a="1"/>
  <c r="I29" i="14" s="1"/>
  <c r="I25" i="14" a="1"/>
  <c r="I25" i="14" s="1"/>
  <c r="I23" i="14" a="1"/>
  <c r="I23" i="14" s="1"/>
  <c r="I22" i="14" a="1"/>
  <c r="I22" i="14" s="1"/>
  <c r="I30" i="14" a="1"/>
  <c r="I30" i="14" s="1"/>
  <c r="I28" i="14" a="1"/>
  <c r="I28" i="14" s="1"/>
  <c r="I26" i="14" a="1"/>
  <c r="I26" i="14" s="1"/>
  <c r="I24" i="14" a="1"/>
  <c r="I24" i="14" s="1"/>
  <c r="H17" i="14"/>
  <c r="H27" i="14" a="1"/>
  <c r="H27" i="14" s="1"/>
  <c r="H23" i="14" a="1"/>
  <c r="H23" i="14" s="1"/>
  <c r="H21" i="14" a="1"/>
  <c r="H21" i="14" s="1"/>
  <c r="H28" i="14" a="1"/>
  <c r="H28" i="14" s="1"/>
  <c r="H24" i="14" a="1"/>
  <c r="H24" i="14" s="1"/>
  <c r="H33" i="14"/>
  <c r="H29" i="14" a="1"/>
  <c r="H29" i="14" s="1"/>
  <c r="H25" i="14" a="1"/>
  <c r="H25" i="14" s="1"/>
  <c r="H30" i="14" a="1"/>
  <c r="H30" i="14" s="1"/>
  <c r="H26" i="14" a="1"/>
  <c r="H26" i="14" s="1"/>
  <c r="H22" i="14" a="1"/>
  <c r="H22" i="14" s="1"/>
  <c r="E10" i="12"/>
  <c r="E12" i="13" l="1"/>
  <c r="B11" i="13"/>
  <c r="D9" i="13" a="1"/>
  <c r="D9" i="13" s="1"/>
  <c r="A9" i="13" s="1"/>
  <c r="C9" i="13"/>
  <c r="C10" i="13"/>
  <c r="D10" i="13" a="1"/>
  <c r="D10" i="13" s="1"/>
  <c r="A10" i="13" s="1"/>
  <c r="T29" i="15"/>
  <c r="S29" i="15"/>
  <c r="R29" i="15"/>
  <c r="Q29" i="15"/>
  <c r="O29" i="15"/>
  <c r="M29" i="15"/>
  <c r="J29" i="15"/>
  <c r="I29" i="15"/>
  <c r="S34" i="14"/>
  <c r="R34" i="14"/>
  <c r="Q34" i="14"/>
  <c r="P34" i="14"/>
  <c r="O34" i="14"/>
  <c r="M34" i="14"/>
  <c r="L34" i="14"/>
  <c r="K34" i="14"/>
  <c r="J34" i="14"/>
  <c r="I34" i="14"/>
  <c r="H34" i="14"/>
  <c r="E11" i="12"/>
  <c r="D11" i="13" l="1" a="1"/>
  <c r="D11" i="13" s="1"/>
  <c r="A11" i="13" s="1"/>
  <c r="C11" i="13"/>
  <c r="B12" i="13"/>
  <c r="E13" i="13"/>
  <c r="E12" i="12"/>
  <c r="E14" i="13" l="1"/>
  <c r="B13" i="13"/>
  <c r="C12" i="13"/>
  <c r="D12" i="13" a="1"/>
  <c r="D12" i="13" s="1"/>
  <c r="A12" i="13" s="1"/>
  <c r="E13" i="12"/>
  <c r="D13" i="13" l="1" a="1"/>
  <c r="D13" i="13" s="1"/>
  <c r="A13" i="13" s="1"/>
  <c r="C13" i="13"/>
  <c r="B14" i="13"/>
  <c r="E15" i="13"/>
  <c r="E14" i="12"/>
  <c r="C14" i="13" l="1"/>
  <c r="D14" i="13" a="1"/>
  <c r="D14" i="13" s="1"/>
  <c r="A14" i="13" s="1"/>
  <c r="E16" i="13"/>
  <c r="B15" i="13"/>
  <c r="E15" i="12"/>
  <c r="D15" i="13" l="1" a="1"/>
  <c r="D15" i="13" s="1"/>
  <c r="A15" i="13" s="1"/>
  <c r="C15" i="13"/>
  <c r="B16" i="13"/>
  <c r="E17" i="13"/>
  <c r="E16" i="12"/>
  <c r="E18" i="13" l="1"/>
  <c r="B17" i="13"/>
  <c r="C16" i="13"/>
  <c r="D16" i="13" a="1"/>
  <c r="D16" i="13" s="1"/>
  <c r="A16" i="13" s="1"/>
  <c r="E17" i="12"/>
  <c r="D17" i="13" l="1" a="1"/>
  <c r="D17" i="13" s="1"/>
  <c r="A17" i="13" s="1"/>
  <c r="C17" i="13"/>
  <c r="B18" i="13"/>
  <c r="E19" i="13"/>
  <c r="E18" i="12"/>
  <c r="B19" i="13" l="1"/>
  <c r="C18" i="13"/>
  <c r="D18" i="13" a="1"/>
  <c r="D18" i="13" s="1"/>
  <c r="A18" i="13" s="1"/>
  <c r="E19" i="12"/>
  <c r="D19" i="13" l="1" a="1"/>
  <c r="D19" i="13" s="1"/>
  <c r="A19" i="13" s="1"/>
  <c r="C19" i="13"/>
  <c r="D6" i="17" l="1"/>
  <c r="B1" i="17"/>
  <c r="D1" i="17" s="1"/>
  <c r="D6" i="16"/>
  <c r="B1" i="16"/>
  <c r="D1" i="16" s="1"/>
  <c r="T18" i="1" l="1"/>
  <c r="T17" i="1"/>
  <c r="H19" i="15" l="1" a="1"/>
  <c r="H19" i="15" s="1"/>
  <c r="B21" i="15" a="1"/>
  <c r="B21" i="15" s="1"/>
  <c r="G19" i="14" a="1"/>
  <c r="G19" i="14" s="1"/>
  <c r="B21" i="14" a="1"/>
  <c r="B21" i="14" s="1"/>
  <c r="C16" i="1"/>
  <c r="D6" i="13"/>
  <c r="D6" i="12"/>
  <c r="E32" i="15"/>
  <c r="C35" i="15" a="1"/>
  <c r="C35" i="15" s="1"/>
  <c r="B35" i="15" a="1"/>
  <c r="B35" i="15" s="1"/>
  <c r="C40" i="14" a="1"/>
  <c r="C40" i="14" s="1"/>
  <c r="B40" i="14" a="1"/>
  <c r="B40" i="14" s="1"/>
  <c r="E37" i="14"/>
  <c r="B1" i="6"/>
  <c r="B1" i="8"/>
  <c r="B1" i="4"/>
  <c r="D6" i="8"/>
  <c r="D6" i="6"/>
  <c r="D6" i="4"/>
  <c r="E6" i="11"/>
  <c r="D6" i="11"/>
  <c r="B22" i="15" l="1" a="1"/>
  <c r="B22" i="15" s="1"/>
  <c r="A21" i="15"/>
  <c r="H21" i="15" a="1"/>
  <c r="H21" i="15" s="1"/>
  <c r="H17" i="15"/>
  <c r="H28" i="15"/>
  <c r="D1" i="8"/>
  <c r="D1" i="6"/>
  <c r="D1" i="4"/>
  <c r="G17" i="14"/>
  <c r="G33" i="14"/>
  <c r="B7" i="12" s="1"/>
  <c r="A21" i="14"/>
  <c r="G21" i="14" a="1"/>
  <c r="G21" i="14" s="1"/>
  <c r="B22" i="14" a="1"/>
  <c r="B22" i="14" s="1"/>
  <c r="B8" i="12" l="1"/>
  <c r="C7" i="12"/>
  <c r="B32" i="15"/>
  <c r="C32" i="15" s="1"/>
  <c r="B23" i="15" a="1"/>
  <c r="B23" i="15" s="1"/>
  <c r="B23" i="14" a="1"/>
  <c r="B23" i="14" s="1"/>
  <c r="A22" i="15"/>
  <c r="H22" i="15" a="1"/>
  <c r="H22" i="15" s="1"/>
  <c r="B37" i="14"/>
  <c r="C37" i="14" s="1"/>
  <c r="A22" i="14"/>
  <c r="G22" i="14" a="1"/>
  <c r="G22" i="14" s="1"/>
  <c r="B9" i="12" l="1"/>
  <c r="C8" i="12"/>
  <c r="H23" i="15" a="1"/>
  <c r="H23" i="15" s="1"/>
  <c r="A23" i="15"/>
  <c r="B24" i="15" a="1"/>
  <c r="B24" i="15" s="1"/>
  <c r="B24" i="14" a="1"/>
  <c r="B24" i="14" s="1"/>
  <c r="A23" i="14"/>
  <c r="G23" i="14" a="1"/>
  <c r="G23" i="14" s="1"/>
  <c r="B10" i="12" l="1"/>
  <c r="C10" i="12" s="1"/>
  <c r="C9" i="12"/>
  <c r="A24" i="15"/>
  <c r="H24" i="15" a="1"/>
  <c r="H24" i="15" s="1"/>
  <c r="B25" i="15" a="1"/>
  <c r="B25" i="15" s="1"/>
  <c r="G24" i="14" a="1"/>
  <c r="G24" i="14" s="1"/>
  <c r="A24" i="14"/>
  <c r="B25" i="14" a="1"/>
  <c r="B25" i="14" s="1"/>
  <c r="B11" i="12" l="1"/>
  <c r="C11" i="12" s="1"/>
  <c r="B26" i="14" a="1"/>
  <c r="B26" i="14" s="1"/>
  <c r="A26" i="14" s="1"/>
  <c r="A25" i="15"/>
  <c r="H25" i="15" a="1"/>
  <c r="H25" i="15" s="1"/>
  <c r="A25" i="14"/>
  <c r="G25" i="14" a="1"/>
  <c r="G25" i="14" s="1"/>
  <c r="T20" i="1"/>
  <c r="F21" i="1" s="1"/>
  <c r="B12" i="12" l="1"/>
  <c r="C12" i="12" s="1"/>
  <c r="G26" i="14" a="1"/>
  <c r="G26" i="14" s="1"/>
  <c r="B27" i="14" a="1"/>
  <c r="B27" i="14" s="1"/>
  <c r="T21" i="1"/>
  <c r="B13" i="12" l="1"/>
  <c r="C13" i="12" s="1"/>
  <c r="B28" i="14" a="1"/>
  <c r="B28" i="14" s="1"/>
  <c r="B29" i="14" s="1" a="1"/>
  <c r="B29" i="14" s="1"/>
  <c r="A27" i="14"/>
  <c r="G27" i="14" a="1"/>
  <c r="G27" i="14" s="1"/>
  <c r="B14" i="12" l="1"/>
  <c r="C14" i="12" s="1"/>
  <c r="G28" i="14" a="1"/>
  <c r="G28" i="14" s="1"/>
  <c r="A28" i="14"/>
  <c r="G29" i="14" a="1"/>
  <c r="G29" i="14" s="1"/>
  <c r="A29" i="14"/>
  <c r="B30" i="14" a="1"/>
  <c r="B30" i="14" s="1"/>
  <c r="B15" i="12" l="1"/>
  <c r="C15" i="12" s="1"/>
  <c r="B16" i="12"/>
  <c r="A30" i="14"/>
  <c r="G30" i="14" a="1"/>
  <c r="G30" i="14" s="1"/>
  <c r="C16" i="12" l="1"/>
  <c r="H29" i="15"/>
  <c r="B17" i="12" l="1"/>
  <c r="C17" i="12" s="1"/>
  <c r="D32" i="15" a="1"/>
  <c r="D32" i="15" s="1"/>
  <c r="A32" i="15" s="1"/>
  <c r="B18" i="12" l="1"/>
  <c r="C18" i="12" s="1"/>
  <c r="B19" i="12"/>
  <c r="C19" i="12" l="1"/>
  <c r="G34" i="14" l="1"/>
  <c r="D15" i="12"/>
  <c r="A15" i="12" s="1"/>
  <c r="D12" i="12"/>
  <c r="A12" i="12" s="1"/>
  <c r="D17" i="12"/>
  <c r="A17" i="12" s="1"/>
  <c r="D11" i="12"/>
  <c r="A11" i="12" s="1"/>
  <c r="D18" i="12"/>
  <c r="A18" i="12" s="1"/>
  <c r="D10" i="12"/>
  <c r="A10" i="12" s="1"/>
  <c r="D8" i="12"/>
  <c r="A8" i="12" s="1"/>
  <c r="D9" i="12"/>
  <c r="A9" i="12" s="1"/>
  <c r="D16" i="12"/>
  <c r="A16" i="12" s="1"/>
  <c r="D19" i="12"/>
  <c r="A19" i="12" s="1"/>
  <c r="D13" i="12"/>
  <c r="A13" i="12" s="1"/>
  <c r="D14" i="12"/>
  <c r="A14" i="12" s="1"/>
  <c r="D7" i="12" l="1"/>
  <c r="A7" i="12" s="1"/>
  <c r="D37" i="14"/>
  <c r="A37" i="14" s="1"/>
</calcChain>
</file>

<file path=xl/sharedStrings.xml><?xml version="1.0" encoding="utf-8"?>
<sst xmlns="http://schemas.openxmlformats.org/spreadsheetml/2006/main" count="1094" uniqueCount="707">
  <si>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</si>
  <si>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</si>
  <si>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</si>
  <si>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</si>
  <si>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</si>
  <si>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</si>
  <si>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</si>
  <si>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</si>
  <si>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</si>
  <si>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</si>
  <si>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</si>
  <si>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</si>
  <si>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</si>
  <si>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</si>
  <si>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</si>
  <si>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</si>
  <si>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</si>
  <si>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</si>
  <si>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</si>
  <si>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</si>
  <si>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</si>
  <si>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</si>
  <si>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</si>
  <si>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</si>
  <si>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</si>
  <si>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</si>
  <si>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</si>
  <si>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</si>
  <si>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</si>
  <si>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</si>
  <si>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</si>
  <si>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</si>
  <si>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</si>
  <si>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</si>
  <si>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</si>
  <si>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</si>
  <si>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</si>
  <si>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</si>
  <si>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</si>
  <si>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</si>
  <si>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</si>
  <si>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</si>
  <si>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</si>
  <si>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</si>
  <si>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</si>
  <si>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</si>
  <si>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</si>
  <si>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</si>
  <si>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</si>
  <si>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</si>
  <si>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</si>
  <si>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</si>
  <si>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</si>
  <si>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</si>
  <si>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</si>
  <si>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</si>
  <si>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</si>
  <si>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</si>
  <si>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</si>
  <si>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</si>
  <si>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</si>
  <si>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</si>
  <si>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</si>
  <si>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</si>
  <si>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</si>
  <si>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</si>
  <si>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</si>
  <si>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</si>
  <si>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</si>
  <si>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</si>
  <si>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</si>
  <si>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</si>
  <si>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</si>
  <si>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</si>
  <si>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</si>
  <si>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</si>
  <si>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</si>
  <si>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</si>
  <si>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</si>
  <si>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</si>
  <si>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</si>
  <si>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</si>
  <si>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</si>
  <si>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</si>
  <si>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</si>
  <si>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</si>
  <si>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</si>
  <si>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</si>
  <si>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</si>
  <si>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</si>
  <si>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</si>
  <si>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</si>
  <si>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</si>
  <si>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</si>
  <si>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</si>
  <si>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</si>
  <si>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</si>
  <si>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</si>
  <si>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</si>
  <si>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</si>
  <si>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</si>
  <si>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</si>
  <si>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</si>
  <si>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</si>
  <si>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</si>
  <si>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</si>
  <si>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</si>
  <si>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</si>
  <si>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</si>
  <si>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</si>
  <si>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</si>
  <si>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</si>
  <si>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</si>
  <si>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</si>
  <si>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</si>
  <si>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</si>
  <si>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</si>
  <si>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</si>
  <si>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</si>
  <si>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</si>
  <si>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</si>
  <si>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</si>
  <si>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</si>
  <si>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</si>
  <si>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</si>
  <si>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</si>
  <si>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</si>
  <si>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</si>
  <si>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</si>
  <si>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</si>
  <si>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</si>
  <si>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</si>
  <si>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</si>
  <si>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</si>
  <si>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</si>
  <si>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</si>
  <si>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</si>
  <si>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</si>
  <si>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</si>
  <si>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</si>
  <si>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</si>
  <si>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</si>
  <si>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</si>
  <si>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</si>
  <si>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</si>
  <si>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</si>
  <si>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</si>
  <si>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</si>
  <si>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</si>
  <si>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</si>
  <si>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</si>
  <si>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</si>
  <si>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</si>
  <si>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</si>
  <si>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</si>
  <si>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</si>
  <si>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</si>
  <si>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</si>
  <si>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</si>
  <si>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</si>
  <si>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</si>
  <si>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</si>
  <si>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</si>
  <si>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</si>
  <si>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</si>
  <si>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</si>
  <si>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</si>
  <si>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</si>
  <si>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</si>
  <si>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</si>
  <si>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</si>
  <si>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</si>
  <si>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</si>
  <si>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</si>
  <si>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</si>
  <si>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</si>
  <si>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</si>
  <si>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</si>
  <si>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</si>
  <si>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</si>
  <si>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</si>
  <si>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</si>
  <si>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</si>
  <si>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</si>
  <si>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</si>
  <si>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</si>
  <si>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</si>
  <si>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</si>
  <si>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</si>
  <si>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</si>
  <si>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</si>
  <si>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</si>
  <si>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</si>
  <si>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</si>
  <si>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</si>
  <si>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</si>
  <si>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</si>
  <si>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</si>
  <si>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</si>
  <si>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</si>
  <si>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</si>
  <si>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</si>
  <si>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</si>
  <si>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</si>
  <si>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</si>
  <si>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</si>
  <si>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</si>
  <si>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</si>
  <si>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</si>
  <si>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</si>
  <si>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</si>
  <si>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</si>
  <si>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</si>
  <si>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</si>
  <si>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</si>
  <si>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</si>
  <si>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</si>
  <si>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</si>
  <si>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</si>
  <si>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</si>
  <si>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</si>
  <si>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</si>
  <si>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</si>
  <si>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</si>
  <si>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</si>
  <si>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</si>
  <si>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</si>
  <si>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</si>
  <si>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</si>
  <si>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</si>
  <si>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</si>
  <si>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</si>
  <si>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</si>
  <si>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</si>
  <si>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</si>
  <si>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</si>
  <si>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</si>
  <si>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</si>
  <si>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</si>
  <si>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</si>
  <si>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</si>
  <si>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</si>
  <si>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</si>
  <si>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</si>
  <si>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</si>
  <si>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</si>
  <si>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</si>
  <si>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</si>
  <si>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</si>
  <si>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</si>
  <si>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</si>
  <si>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</si>
  <si>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</si>
  <si>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</si>
  <si>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</si>
  <si>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</si>
  <si>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</si>
  <si>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</si>
  <si>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</si>
  <si>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</si>
  <si>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</si>
  <si>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</si>
  <si>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</si>
  <si>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</si>
  <si>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</si>
  <si>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</si>
  <si>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</si>
  <si>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</si>
  <si>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</si>
  <si>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</si>
  <si>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</si>
  <si>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</si>
  <si>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</si>
  <si>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</si>
  <si>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</si>
  <si>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</si>
  <si>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</si>
  <si>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</si>
  <si>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</si>
  <si>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</si>
  <si>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</si>
  <si>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</si>
  <si>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</si>
  <si>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</si>
  <si>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</si>
  <si>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</si>
  <si>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</si>
  <si>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</si>
  <si>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</si>
  <si>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</si>
  <si>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</si>
  <si>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</si>
  <si>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</si>
  <si>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</si>
  <si>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</si>
  <si>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</si>
  <si>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</si>
  <si>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</si>
  <si>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</si>
  <si>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</si>
  <si>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</si>
  <si>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</si>
  <si>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</si>
  <si>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</si>
  <si>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</si>
  <si>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</si>
  <si>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</si>
  <si>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</si>
  <si>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</si>
  <si>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</si>
  <si>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</si>
  <si>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</si>
  <si>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</si>
  <si>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</si>
  <si>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</si>
  <si>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</si>
  <si>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</si>
  <si>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</si>
  <si>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</si>
  <si>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</si>
  <si>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</si>
  <si>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</si>
  <si>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</si>
  <si>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</si>
  <si>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</si>
  <si>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</si>
  <si>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</si>
  <si>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</si>
  <si>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</si>
  <si>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</si>
  <si>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</si>
  <si>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</si>
  <si>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</si>
  <si>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</si>
  <si>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</si>
  <si>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</si>
  <si>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</si>
  <si>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</si>
  <si>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</si>
  <si>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</si>
  <si>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</si>
  <si>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</si>
  <si>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</si>
  <si>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</si>
  <si>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</si>
  <si>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</si>
  <si>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</si>
  <si>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</si>
  <si>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</si>
  <si>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</si>
  <si>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</si>
  <si>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</si>
  <si>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</si>
  <si>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</si>
  <si>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</si>
  <si>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</si>
  <si>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</si>
  <si>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</si>
  <si>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</si>
  <si>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</si>
  <si>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</si>
  <si>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</si>
  <si>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</si>
  <si>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</si>
  <si>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</si>
  <si>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</si>
  <si>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</si>
  <si>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</si>
  <si>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</si>
  <si>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</si>
  <si>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</si>
  <si>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</si>
  <si>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</si>
  <si>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</si>
  <si>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</si>
  <si>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</si>
  <si>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</si>
  <si>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</si>
  <si>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</si>
  <si>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</si>
  <si>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</si>
  <si>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</si>
  <si>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</si>
  <si>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</si>
  <si>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</si>
  <si>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</si>
  <si>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</si>
  <si>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</si>
  <si>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</si>
  <si>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</si>
  <si>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</si>
  <si>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</si>
  <si>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</si>
  <si>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</si>
  <si>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</si>
  <si>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</si>
  <si>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</si>
  <si>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</si>
  <si>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</si>
  <si>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</si>
  <si>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</si>
  <si>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</si>
  <si>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</si>
  <si>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</si>
  <si>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</si>
  <si>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</si>
  <si>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</si>
  <si>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</si>
  <si>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</si>
  <si>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</si>
  <si>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</si>
  <si>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</si>
  <si>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</si>
  <si>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</si>
  <si>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</si>
  <si>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</si>
  <si>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</si>
  <si>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</si>
  <si>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</si>
  <si>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</si>
  <si>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</si>
  <si>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</si>
  <si>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</si>
  <si>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</si>
  <si>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</si>
  <si>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</si>
  <si>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</si>
  <si>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</si>
  <si>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</si>
  <si>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</si>
  <si>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</si>
  <si>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</si>
  <si>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</si>
  <si>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</si>
  <si>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</si>
  <si>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</si>
  <si>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</si>
  <si>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</si>
  <si>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</si>
  <si>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</si>
  <si>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</si>
  <si>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</si>
  <si>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</si>
  <si>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</si>
  <si>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</si>
  <si>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</si>
  <si>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</si>
  <si>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</si>
  <si>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</si>
  <si>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</si>
  <si>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</si>
  <si>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</si>
  <si>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</si>
  <si>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</si>
  <si>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</si>
  <si>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</si>
  <si>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</si>
  <si>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</si>
  <si>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</si>
  <si>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</si>
  <si>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</si>
  <si>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</si>
  <si>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</si>
  <si>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</si>
  <si>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</si>
  <si>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</si>
  <si>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</si>
  <si>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</si>
  <si>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</si>
  <si>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</si>
  <si>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</si>
  <si>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</si>
  <si>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</si>
  <si>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</si>
  <si>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</si>
  <si>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</si>
  <si>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</si>
  <si>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</si>
  <si>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</si>
  <si>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</si>
  <si>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</si>
  <si>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</si>
  <si>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</si>
  <si>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</si>
  <si>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</si>
  <si>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</si>
  <si>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</si>
  <si>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</si>
  <si>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</si>
  <si>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</si>
  <si>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</si>
  <si>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</si>
  <si>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</si>
  <si>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</si>
  <si>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</si>
  <si>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</si>
  <si>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</si>
  <si>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</si>
  <si>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</si>
  <si>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</si>
  <si>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</si>
  <si>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</si>
  <si>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</si>
  <si>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</si>
  <si>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</si>
  <si>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</si>
  <si>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</si>
  <si>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</si>
  <si>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</si>
  <si>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</si>
  <si>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</si>
  <si>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</si>
  <si>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</si>
  <si>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</si>
  <si>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</si>
  <si>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</si>
  <si>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</si>
  <si>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</si>
  <si>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</si>
  <si>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</si>
  <si>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</si>
  <si>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</si>
  <si>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</si>
  <si>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</si>
  <si>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</si>
  <si>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</si>
  <si>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</si>
  <si>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</si>
  <si>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</si>
  <si>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</si>
  <si>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</si>
  <si>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</si>
  <si>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</si>
  <si>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</si>
  <si>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</si>
  <si>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</si>
  <si>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</si>
  <si>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</si>
  <si>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</si>
  <si>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</si>
  <si>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</si>
  <si>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</si>
  <si>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</si>
  <si>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</si>
  <si>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</si>
  <si>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</si>
  <si>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</si>
  <si>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</si>
  <si>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</si>
  <si>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</si>
  <si>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</si>
  <si>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</si>
  <si>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</si>
  <si>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</si>
  <si>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</si>
  <si>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</si>
  <si>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</si>
  <si>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</si>
  <si>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</si>
  <si>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</si>
  <si>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</si>
  <si>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</si>
  <si>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</si>
  <si>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</si>
  <si>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</si>
  <si>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</si>
  <si>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</si>
  <si>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</si>
  <si>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</si>
  <si>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</si>
  <si>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</si>
  <si>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</si>
  <si>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</si>
  <si>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</si>
  <si>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</si>
  <si>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</si>
  <si>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</si>
  <si>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</si>
  <si>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</si>
  <si>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</si>
  <si>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</si>
  <si>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</si>
  <si>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</si>
  <si>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</si>
  <si>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</si>
  <si>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</si>
  <si>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</si>
  <si>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</si>
  <si>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</si>
  <si>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</si>
  <si>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</si>
  <si>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</si>
  <si>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</si>
  <si>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</si>
  <si>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</si>
  <si>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</si>
  <si>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</si>
  <si>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</si>
  <si>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</si>
  <si>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</si>
  <si>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</si>
  <si>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</si>
  <si>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</si>
  <si>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</si>
  <si>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</si>
  <si>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</si>
  <si>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</si>
  <si>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</si>
  <si>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</si>
  <si>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</si>
  <si>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</si>
  <si>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</si>
  <si>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</si>
  <si>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</si>
  <si>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</si>
  <si>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</si>
  <si>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</si>
  <si>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</si>
  <si>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</si>
  <si>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</si>
  <si>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</si>
  <si>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</si>
  <si>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</si>
  <si>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</si>
  <si>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</si>
  <si>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</si>
  <si>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</si>
  <si>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</si>
  <si>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</si>
  <si>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</si>
  <si>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</si>
  <si>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</si>
  <si>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</si>
  <si>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</si>
  <si>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</si>
  <si>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</si>
  <si>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</si>
  <si>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</si>
  <si>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</si>
  <si>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</si>
  <si>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</si>
  <si>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</si>
  <si>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</si>
  <si>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</si>
  <si>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</si>
  <si>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</si>
  <si>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</si>
  <si>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</si>
  <si>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</si>
  <si>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</si>
  <si>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</si>
  <si>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</si>
  <si>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</si>
  <si>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</si>
  <si>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</si>
  <si>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</si>
  <si>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</si>
  <si>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</si>
  <si>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</si>
  <si>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</si>
  <si>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</si>
  <si>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</si>
  <si>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</si>
  <si>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</si>
  <si>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</si>
  <si>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</si>
  <si>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</si>
  <si>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</si>
  <si>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</si>
  <si>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</si>
  <si>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</si>
  <si>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</si>
  <si>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</si>
  <si>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</si>
  <si>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</si>
  <si>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</si>
  <si>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</si>
  <si>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</si>
  <si>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</si>
  <si>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</si>
  <si>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</si>
  <si>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</si>
  <si>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</si>
  <si>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</si>
  <si>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</si>
  <si>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</si>
  <si>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Weekly Operating hours</t>
  </si>
  <si>
    <t>Weighted Daily Occupancy</t>
  </si>
  <si>
    <t>Meter Source</t>
  </si>
  <si>
    <t>Data Source</t>
  </si>
  <si>
    <t>Annual ridership for this station</t>
  </si>
  <si>
    <t>Full time staff at station</t>
  </si>
  <si>
    <t>Average time spent by riders at the station (in minutes)</t>
  </si>
  <si>
    <t xml:space="preserve">Generated onsite - solar </t>
  </si>
  <si>
    <t>I</t>
  </si>
  <si>
    <t>Goa</t>
  </si>
  <si>
    <t>Hyd</t>
  </si>
  <si>
    <t>Delhi</t>
  </si>
  <si>
    <t>Banglore</t>
  </si>
  <si>
    <t>Chennai</t>
  </si>
  <si>
    <t>Energy Meter via Upload</t>
  </si>
  <si>
    <t>Water meter via upload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</si>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</sst>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</cellStyleXfs>
  <cellXfs count="214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45" xfId="0" applyFill="1" applyBorder="1"/>
    <xf numFmtId="0" fontId="8" fillId="3" borderId="47" xfId="1" applyFont="1" applyFill="1" applyBorder="1" applyAlignment="1" applyProtection="1">
      <alignment horizontal="left" vertical="center"/>
    </xf>
    <xf numFmtId="0" fontId="0" fillId="0" borderId="46" xfId="0" applyFill="1" applyBorder="1" applyProtection="1"/>
    <xf numFmtId="1" fontId="8" fillId="3" borderId="43" xfId="0" applyNumberFormat="1" applyFont="1" applyFill="1" applyBorder="1" applyAlignment="1" applyProtection="1">
      <alignment horizontal="left" vertical="center"/>
      <protection locked="0"/>
    </xf>
    <xf numFmtId="0" fontId="0" fillId="2" borderId="48" xfId="0" applyFill="1" applyBorder="1" applyProtection="1"/>
    <xf numFmtId="0" fontId="0" fillId="2" borderId="49" xfId="0" applyFill="1" applyBorder="1" applyProtection="1"/>
    <xf numFmtId="0" fontId="0" fillId="2" borderId="44" xfId="0" applyFill="1" applyBorder="1" applyProtection="1"/>
    <xf numFmtId="0" fontId="8" fillId="2" borderId="0" xfId="0" applyFont="1" applyFill="1" applyBorder="1"/>
    <xf numFmtId="0" fontId="26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50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0" fillId="2" borderId="9" xfId="0" applyFill="1" applyBorder="1"/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1" fontId="4" fillId="2" borderId="43" xfId="0" applyNumberFormat="1" applyFont="1" applyFill="1" applyBorder="1" applyAlignment="1" applyProtection="1">
      <alignment horizontal="left" vertical="center"/>
    </xf>
    <xf numFmtId="2" fontId="8" fillId="3" borderId="43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43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8">
    <cellStyle name="Normal" xfId="0" builtinId="0"/>
    <cellStyle name="Normal 2" xfId="1" xr:uid="{00000000-0005-0000-0000-000001000000}"/>
    <cellStyle name="Normal 2 2" xfId="2" xr:uid="{00000000-0005-0000-0000-000002000000}"/>
    <cellStyle name="Normal 2 2 2" xfId="5" xr:uid="{00000000-0005-0000-0000-000003000000}"/>
    <cellStyle name="Normal 2 3" xfId="4" xr:uid="{00000000-0005-0000-0000-000004000000}"/>
    <cellStyle name="Normal 4" xfId="6" xr:uid="{00000000-0005-0000-0000-000005000000}"/>
    <cellStyle name="Normal 5" xfId="3" xr:uid="{00000000-0005-0000-0000-000006000000}"/>
    <cellStyle name="Percent 2" xfId="7" xr:uid="{00000000-0005-0000-0000-000007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9525</xdr:rowOff>
        </xdr:from>
        <xdr:to>
          <xdr:col>2</xdr:col>
          <xdr:colOff>447675</xdr:colOff>
          <xdr:row>21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21</xdr:row>
          <xdr:rowOff>400050</xdr:rowOff>
        </xdr:from>
        <xdr:to>
          <xdr:col>3</xdr:col>
          <xdr:colOff>981075</xdr:colOff>
          <xdr:row>23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5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5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5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21</xdr:row>
          <xdr:rowOff>28575</xdr:rowOff>
        </xdr:from>
        <xdr:to>
          <xdr:col>2</xdr:col>
          <xdr:colOff>466725</xdr:colOff>
          <xdr:row>21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21</xdr:row>
          <xdr:rowOff>352425</xdr:rowOff>
        </xdr:from>
        <xdr:to>
          <xdr:col>3</xdr:col>
          <xdr:colOff>990600</xdr:colOff>
          <xdr:row>23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0</xdr:rowOff>
        </xdr:from>
        <xdr:to>
          <xdr:col>2</xdr:col>
          <xdr:colOff>9525</xdr:colOff>
          <xdr:row>21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0</xdr:rowOff>
        </xdr:from>
        <xdr:to>
          <xdr:col>2</xdr:col>
          <xdr:colOff>0</xdr:colOff>
          <xdr:row>21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0</xdr:rowOff>
        </xdr:from>
        <xdr:to>
          <xdr:col>2</xdr:col>
          <xdr:colOff>1295400</xdr:colOff>
          <xdr:row>21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9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9525</xdr:rowOff>
        </xdr:from>
        <xdr:to>
          <xdr:col>2</xdr:col>
          <xdr:colOff>0</xdr:colOff>
          <xdr:row>21</xdr:row>
          <xdr:rowOff>276225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9525</xdr:rowOff>
        </xdr:from>
        <xdr:to>
          <xdr:col>2</xdr:col>
          <xdr:colOff>1304925</xdr:colOff>
          <xdr:row>21</xdr:row>
          <xdr:rowOff>276225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2"/>
  <sheetViews>
    <sheetView showGridLines="0" topLeftCell="A10" zoomScale="90" zoomScaleNormal="90" workbookViewId="0">
      <selection activeCell="F24" sqref="F24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20" width="0" style="128" hidden="1" customWidth="1"/>
    <col min="21" max="16384" width="9.140625" style="128"/>
  </cols>
  <sheetData>
    <row r="2" spans="2:14" x14ac:dyDescent="0.25">
      <c r="B2" s="134"/>
      <c r="C2" s="135" t="s">
        <v>575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00" t="s">
        <v>685</v>
      </c>
      <c r="D3" s="201"/>
      <c r="E3" s="201"/>
      <c r="F3" s="201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54" t="s">
        <v>607</v>
      </c>
      <c r="D8" s="155"/>
      <c r="E8" s="156"/>
      <c r="F8" s="157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58" t="s">
        <v>570</v>
      </c>
      <c r="D9" s="155"/>
      <c r="E9" s="156"/>
      <c r="F9" s="159" t="s">
        <v>608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60" t="s">
        <v>609</v>
      </c>
      <c r="D10" s="160"/>
      <c r="E10" s="155"/>
      <c r="F10" s="161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613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677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173"/>
      <c r="C15" s="198" t="s">
        <v>494</v>
      </c>
      <c r="D15" s="198"/>
      <c r="E15" s="198"/>
      <c r="F15" s="172">
        <v>2017</v>
      </c>
      <c r="G15" s="9"/>
      <c r="H15" s="9"/>
      <c r="I15" s="10"/>
      <c r="J15" s="9"/>
      <c r="K15" s="174"/>
      <c r="L15" s="127"/>
      <c r="M15" s="127"/>
      <c r="N15" s="127"/>
    </row>
    <row r="16" spans="2:14" x14ac:dyDescent="0.25">
      <c r="B16" s="173"/>
      <c r="C16" s="198" t="str">
        <f>CONCATENATE("Gross 
Floor Area 
",IF(Setup!$F$9="SI units","(sq m)","(sq ft)"))</f>
        <v>Gross 
Floor Area 
(sq ft)</v>
      </c>
      <c r="D16" s="198"/>
      <c r="E16" s="198"/>
      <c r="F16" s="194">
        <v>2000</v>
      </c>
      <c r="G16" s="11"/>
      <c r="H16" s="11"/>
      <c r="I16" s="12"/>
      <c r="J16" s="11"/>
      <c r="K16" s="140"/>
      <c r="L16" s="127"/>
      <c r="M16" s="127"/>
      <c r="N16" s="127"/>
    </row>
    <row r="17" spans="2:20" x14ac:dyDescent="0.25">
      <c r="B17" s="173"/>
      <c r="C17" s="198" t="s">
        <v>690</v>
      </c>
      <c r="D17" s="198"/>
      <c r="E17" s="198"/>
      <c r="F17" s="172">
        <v>20000</v>
      </c>
      <c r="G17" s="11"/>
      <c r="H17" s="11"/>
      <c r="I17" s="12"/>
      <c r="J17" s="11"/>
      <c r="K17" s="174"/>
      <c r="L17" s="127"/>
      <c r="M17" s="127"/>
      <c r="N17" s="127"/>
      <c r="T17" s="128">
        <f>F17/365</f>
        <v>54.794520547945204</v>
      </c>
    </row>
    <row r="18" spans="2:20" x14ac:dyDescent="0.25">
      <c r="B18" s="173"/>
      <c r="C18" s="198" t="s">
        <v>686</v>
      </c>
      <c r="D18" s="198"/>
      <c r="E18" s="198"/>
      <c r="F18" s="172">
        <v>100</v>
      </c>
      <c r="G18" s="11"/>
      <c r="H18" s="11"/>
      <c r="I18" s="12"/>
      <c r="J18" s="11"/>
      <c r="K18" s="174"/>
      <c r="L18" s="127"/>
      <c r="M18" s="127"/>
      <c r="N18" s="127"/>
      <c r="T18" s="128">
        <f>F18/7</f>
        <v>14.285714285714286</v>
      </c>
    </row>
    <row r="19" spans="2:20" x14ac:dyDescent="0.25">
      <c r="B19" s="173"/>
      <c r="C19" s="198" t="s">
        <v>691</v>
      </c>
      <c r="D19" s="198"/>
      <c r="E19" s="198"/>
      <c r="F19" s="172">
        <v>8</v>
      </c>
      <c r="G19" s="11"/>
      <c r="H19" s="11"/>
      <c r="I19" s="12"/>
      <c r="J19" s="11"/>
      <c r="K19" s="174"/>
      <c r="L19" s="127"/>
      <c r="M19" s="127"/>
      <c r="N19" s="127"/>
    </row>
    <row r="20" spans="2:20" x14ac:dyDescent="0.25">
      <c r="B20" s="173"/>
      <c r="C20" s="198" t="s">
        <v>692</v>
      </c>
      <c r="D20" s="198"/>
      <c r="E20" s="198"/>
      <c r="F20" s="172">
        <v>16</v>
      </c>
      <c r="G20" s="11"/>
      <c r="H20" s="11"/>
      <c r="I20" s="12"/>
      <c r="J20" s="11"/>
      <c r="K20" s="174"/>
      <c r="L20" s="127"/>
      <c r="M20" s="127"/>
      <c r="N20" s="127"/>
      <c r="T20" s="128">
        <f>F20/60</f>
        <v>0.26666666666666666</v>
      </c>
    </row>
    <row r="21" spans="2:20" x14ac:dyDescent="0.25">
      <c r="B21" s="173"/>
      <c r="C21" s="198" t="s">
        <v>687</v>
      </c>
      <c r="D21" s="198"/>
      <c r="E21" s="198"/>
      <c r="F21" s="193">
        <f>IFERROR(F19+ T17*(T20/T18),0)</f>
        <v>9.0228310502283104</v>
      </c>
      <c r="G21" s="11"/>
      <c r="H21" s="11"/>
      <c r="I21" s="12"/>
      <c r="J21" s="11"/>
      <c r="K21" s="174"/>
      <c r="L21" s="127"/>
      <c r="M21" s="127"/>
      <c r="N21" s="127"/>
      <c r="T21" s="128">
        <f>IF(F19+T20,T17*(T20/T18),"")</f>
        <v>1.0228310502283104</v>
      </c>
    </row>
    <row r="22" spans="2:20" ht="24" customHeight="1" x14ac:dyDescent="0.25">
      <c r="B22" s="139"/>
      <c r="C22" s="11"/>
      <c r="D22" s="11"/>
      <c r="E22" s="11"/>
      <c r="F22" s="175"/>
      <c r="G22" s="11"/>
      <c r="H22" s="11"/>
      <c r="I22" s="12"/>
      <c r="J22" s="11"/>
      <c r="K22" s="140"/>
      <c r="L22" s="127"/>
      <c r="M22" s="127"/>
      <c r="N22" s="127"/>
    </row>
    <row r="23" spans="2:20" ht="30" customHeight="1" x14ac:dyDescent="0.25">
      <c r="B23" s="139"/>
      <c r="C23" s="18" t="s">
        <v>610</v>
      </c>
      <c r="D23" s="11"/>
      <c r="E23" s="11"/>
      <c r="F23" s="11"/>
      <c r="G23" s="11"/>
      <c r="H23" s="11"/>
      <c r="I23" s="12"/>
      <c r="J23" s="11"/>
      <c r="K23" s="140"/>
    </row>
    <row r="24" spans="2:20" x14ac:dyDescent="0.25">
      <c r="B24" s="139"/>
      <c r="C24" s="133" t="s">
        <v>567</v>
      </c>
      <c r="D24" s="124"/>
      <c r="E24" s="125"/>
      <c r="F24" s="123" t="s">
        <v>552</v>
      </c>
      <c r="G24" s="9"/>
      <c r="H24" s="9"/>
      <c r="I24" s="10"/>
      <c r="J24" s="9"/>
      <c r="K24" s="140"/>
    </row>
    <row r="25" spans="2:20" x14ac:dyDescent="0.25">
      <c r="B25" s="139"/>
      <c r="C25" s="126" t="s">
        <v>495</v>
      </c>
      <c r="D25" s="19"/>
      <c r="E25" s="20"/>
      <c r="F25" s="11"/>
      <c r="G25" s="9"/>
      <c r="H25" s="9"/>
      <c r="I25" s="10"/>
      <c r="J25" s="9"/>
      <c r="K25" s="140"/>
    </row>
    <row r="26" spans="2:20" ht="42" customHeight="1" x14ac:dyDescent="0.25">
      <c r="B26" s="139"/>
      <c r="C26" s="11"/>
      <c r="D26" s="9"/>
      <c r="E26" s="11"/>
      <c r="F26" s="11"/>
      <c r="G26" s="9"/>
      <c r="H26" s="9"/>
      <c r="I26" s="10"/>
      <c r="J26" s="9"/>
      <c r="K26" s="140"/>
    </row>
    <row r="27" spans="2:20" x14ac:dyDescent="0.25">
      <c r="B27" s="139"/>
      <c r="C27" s="162"/>
      <c r="D27" s="162"/>
      <c r="E27" s="162"/>
      <c r="F27" s="162"/>
      <c r="G27" s="163"/>
      <c r="H27" s="163"/>
      <c r="I27" s="164"/>
      <c r="J27" s="163"/>
      <c r="K27" s="140"/>
    </row>
    <row r="28" spans="2:20" ht="21" customHeight="1" x14ac:dyDescent="0.25">
      <c r="B28" s="139"/>
      <c r="C28" s="165" t="s">
        <v>612</v>
      </c>
      <c r="D28" s="166"/>
      <c r="E28" s="162"/>
      <c r="F28" s="162"/>
      <c r="G28" s="167"/>
      <c r="H28" s="167"/>
      <c r="I28" s="167"/>
      <c r="J28" s="167"/>
      <c r="K28" s="140"/>
    </row>
    <row r="29" spans="2:20" ht="30.6" customHeight="1" x14ac:dyDescent="0.25">
      <c r="B29" s="139"/>
      <c r="C29" s="199" t="s">
        <v>574</v>
      </c>
      <c r="D29" s="199"/>
      <c r="E29" s="199"/>
      <c r="F29" s="199"/>
      <c r="G29" s="167"/>
      <c r="H29" s="167"/>
      <c r="I29" s="167"/>
      <c r="J29" s="167"/>
      <c r="K29" s="140"/>
      <c r="L29" s="130" t="s">
        <v>6</v>
      </c>
      <c r="M29" s="130" t="s">
        <v>7</v>
      </c>
      <c r="O29" s="128" t="s">
        <v>552</v>
      </c>
      <c r="Q29" s="128" t="s">
        <v>552</v>
      </c>
      <c r="S29" s="178" t="s">
        <v>606</v>
      </c>
    </row>
    <row r="30" spans="2:20" ht="11.25" customHeight="1" x14ac:dyDescent="0.25">
      <c r="B30" s="169"/>
      <c r="C30" s="168"/>
      <c r="D30" s="168"/>
      <c r="E30" s="168"/>
      <c r="F30" s="168"/>
      <c r="G30" s="167"/>
      <c r="H30" s="167"/>
      <c r="I30" s="167"/>
      <c r="J30" s="167"/>
      <c r="K30" s="171"/>
      <c r="L30" s="170" t="s">
        <v>8</v>
      </c>
      <c r="M30" s="130" t="s">
        <v>9</v>
      </c>
      <c r="O30" s="128" t="s">
        <v>544</v>
      </c>
      <c r="Q30" s="128" t="s">
        <v>544</v>
      </c>
      <c r="S30" s="179" t="s">
        <v>621</v>
      </c>
    </row>
    <row r="31" spans="2:20" ht="11.25" customHeight="1" x14ac:dyDescent="0.25">
      <c r="F31" s="129"/>
      <c r="G31" s="129"/>
      <c r="H31" s="129"/>
      <c r="I31" s="129"/>
      <c r="J31" s="129"/>
      <c r="L31" s="130" t="s">
        <v>10</v>
      </c>
      <c r="M31" s="130" t="s">
        <v>11</v>
      </c>
      <c r="O31" s="128" t="s">
        <v>562</v>
      </c>
      <c r="Q31" s="128" t="s">
        <v>562</v>
      </c>
      <c r="S31" s="179" t="s">
        <v>622</v>
      </c>
    </row>
    <row r="32" spans="2:20" ht="11.25" customHeight="1" x14ac:dyDescent="0.25">
      <c r="F32" s="129"/>
      <c r="K32" s="132"/>
      <c r="L32" s="130" t="s">
        <v>12</v>
      </c>
      <c r="M32" s="130" t="s">
        <v>13</v>
      </c>
      <c r="O32" s="128" t="s">
        <v>559</v>
      </c>
      <c r="S32" s="179" t="s">
        <v>623</v>
      </c>
    </row>
    <row r="33" spans="6:19" x14ac:dyDescent="0.25">
      <c r="F33" s="129"/>
      <c r="K33" s="132"/>
      <c r="L33" s="130" t="s">
        <v>14</v>
      </c>
      <c r="M33" s="130" t="s">
        <v>15</v>
      </c>
      <c r="O33" s="128" t="s">
        <v>561</v>
      </c>
      <c r="S33" s="179" t="s">
        <v>624</v>
      </c>
    </row>
    <row r="34" spans="6:19" x14ac:dyDescent="0.25">
      <c r="F34" s="129"/>
      <c r="K34" s="141" t="s">
        <v>611</v>
      </c>
      <c r="L34" s="130" t="s">
        <v>16</v>
      </c>
      <c r="M34" s="130" t="s">
        <v>17</v>
      </c>
      <c r="O34" s="128" t="s">
        <v>560</v>
      </c>
      <c r="S34" s="179" t="s">
        <v>625</v>
      </c>
    </row>
    <row r="35" spans="6:19" x14ac:dyDescent="0.25">
      <c r="K35" s="141" t="s">
        <v>616</v>
      </c>
      <c r="L35" s="130" t="s">
        <v>18</v>
      </c>
      <c r="M35" s="130" t="s">
        <v>19</v>
      </c>
      <c r="S35" s="179" t="s">
        <v>626</v>
      </c>
    </row>
    <row r="36" spans="6:19" x14ac:dyDescent="0.25">
      <c r="K36" s="141" t="s">
        <v>572</v>
      </c>
      <c r="L36" s="130" t="s">
        <v>20</v>
      </c>
      <c r="M36" s="130" t="s">
        <v>21</v>
      </c>
      <c r="S36" s="179" t="s">
        <v>627</v>
      </c>
    </row>
    <row r="37" spans="6:19" x14ac:dyDescent="0.25">
      <c r="K37" s="141" t="s">
        <v>573</v>
      </c>
      <c r="L37" s="130" t="s">
        <v>22</v>
      </c>
      <c r="M37" s="130" t="s">
        <v>23</v>
      </c>
      <c r="S37" s="179" t="s">
        <v>628</v>
      </c>
    </row>
    <row r="38" spans="6:19" x14ac:dyDescent="0.25">
      <c r="L38" s="130" t="s">
        <v>24</v>
      </c>
      <c r="M38" s="130" t="s">
        <v>25</v>
      </c>
      <c r="S38" s="179" t="s">
        <v>629</v>
      </c>
    </row>
    <row r="39" spans="6:19" x14ac:dyDescent="0.25">
      <c r="L39" s="130" t="s">
        <v>26</v>
      </c>
      <c r="M39" s="130" t="s">
        <v>27</v>
      </c>
      <c r="S39" s="179" t="s">
        <v>630</v>
      </c>
    </row>
    <row r="40" spans="6:19" x14ac:dyDescent="0.25">
      <c r="L40" s="130" t="s">
        <v>28</v>
      </c>
      <c r="M40" s="130" t="s">
        <v>29</v>
      </c>
      <c r="S40" s="179" t="s">
        <v>631</v>
      </c>
    </row>
    <row r="41" spans="6:19" x14ac:dyDescent="0.25">
      <c r="L41" s="130" t="s">
        <v>30</v>
      </c>
      <c r="M41" s="130" t="s">
        <v>31</v>
      </c>
      <c r="S41" s="179" t="s">
        <v>632</v>
      </c>
    </row>
    <row r="42" spans="6:19" x14ac:dyDescent="0.25">
      <c r="L42" s="130" t="s">
        <v>32</v>
      </c>
      <c r="M42" s="130" t="s">
        <v>33</v>
      </c>
      <c r="S42" s="179" t="s">
        <v>633</v>
      </c>
    </row>
    <row r="43" spans="6:19" x14ac:dyDescent="0.25">
      <c r="L43" s="130" t="s">
        <v>34</v>
      </c>
      <c r="M43" s="130" t="s">
        <v>35</v>
      </c>
      <c r="S43" s="179" t="s">
        <v>634</v>
      </c>
    </row>
    <row r="44" spans="6:19" x14ac:dyDescent="0.25">
      <c r="L44" s="130" t="s">
        <v>36</v>
      </c>
      <c r="M44" s="130" t="s">
        <v>37</v>
      </c>
      <c r="S44" s="179" t="s">
        <v>635</v>
      </c>
    </row>
    <row r="45" spans="6:19" x14ac:dyDescent="0.25">
      <c r="L45" s="130" t="s">
        <v>38</v>
      </c>
      <c r="M45" s="130" t="s">
        <v>39</v>
      </c>
      <c r="S45" s="179" t="s">
        <v>636</v>
      </c>
    </row>
    <row r="46" spans="6:19" x14ac:dyDescent="0.25">
      <c r="L46" s="130" t="s">
        <v>40</v>
      </c>
      <c r="M46" s="130" t="s">
        <v>41</v>
      </c>
      <c r="S46" s="179" t="s">
        <v>637</v>
      </c>
    </row>
    <row r="47" spans="6:19" x14ac:dyDescent="0.25">
      <c r="L47" s="130" t="s">
        <v>42</v>
      </c>
      <c r="M47" s="130" t="s">
        <v>43</v>
      </c>
      <c r="S47" s="179" t="s">
        <v>638</v>
      </c>
    </row>
    <row r="48" spans="6:19" x14ac:dyDescent="0.25">
      <c r="L48" s="130" t="s">
        <v>44</v>
      </c>
      <c r="M48" s="130" t="s">
        <v>45</v>
      </c>
      <c r="S48" s="179" t="s">
        <v>639</v>
      </c>
    </row>
    <row r="49" spans="12:19" x14ac:dyDescent="0.25">
      <c r="L49" s="130" t="s">
        <v>46</v>
      </c>
      <c r="M49" s="130" t="s">
        <v>47</v>
      </c>
      <c r="S49" s="179" t="s">
        <v>640</v>
      </c>
    </row>
    <row r="50" spans="12:19" x14ac:dyDescent="0.25">
      <c r="L50" s="130" t="s">
        <v>48</v>
      </c>
      <c r="M50" s="130" t="s">
        <v>49</v>
      </c>
      <c r="S50" s="179" t="s">
        <v>641</v>
      </c>
    </row>
    <row r="51" spans="12:19" x14ac:dyDescent="0.25">
      <c r="L51" s="130" t="s">
        <v>50</v>
      </c>
      <c r="M51" s="130" t="s">
        <v>51</v>
      </c>
      <c r="S51" s="179" t="s">
        <v>642</v>
      </c>
    </row>
    <row r="52" spans="12:19" x14ac:dyDescent="0.25">
      <c r="L52" s="130" t="s">
        <v>52</v>
      </c>
      <c r="M52" s="130" t="s">
        <v>53</v>
      </c>
      <c r="S52" s="179" t="s">
        <v>643</v>
      </c>
    </row>
    <row r="53" spans="12:19" x14ac:dyDescent="0.25">
      <c r="L53" s="130" t="s">
        <v>54</v>
      </c>
      <c r="M53" s="130" t="s">
        <v>55</v>
      </c>
      <c r="S53" s="179" t="s">
        <v>644</v>
      </c>
    </row>
    <row r="54" spans="12:19" x14ac:dyDescent="0.25">
      <c r="L54" s="130" t="s">
        <v>56</v>
      </c>
      <c r="M54" s="130" t="s">
        <v>57</v>
      </c>
      <c r="S54" s="179" t="s">
        <v>645</v>
      </c>
    </row>
    <row r="55" spans="12:19" x14ac:dyDescent="0.25">
      <c r="L55" s="130" t="s">
        <v>58</v>
      </c>
      <c r="M55" s="130" t="s">
        <v>59</v>
      </c>
      <c r="S55" s="179" t="s">
        <v>646</v>
      </c>
    </row>
    <row r="56" spans="12:19" x14ac:dyDescent="0.25">
      <c r="L56" s="130" t="s">
        <v>60</v>
      </c>
      <c r="M56" s="130" t="s">
        <v>61</v>
      </c>
      <c r="S56" s="179" t="s">
        <v>647</v>
      </c>
    </row>
    <row r="57" spans="12:19" x14ac:dyDescent="0.25">
      <c r="L57" s="130" t="s">
        <v>62</v>
      </c>
      <c r="M57" s="130" t="s">
        <v>63</v>
      </c>
      <c r="S57" s="179" t="s">
        <v>648</v>
      </c>
    </row>
    <row r="58" spans="12:19" x14ac:dyDescent="0.25">
      <c r="L58" s="130" t="s">
        <v>64</v>
      </c>
      <c r="M58" s="130" t="s">
        <v>65</v>
      </c>
      <c r="S58" s="179" t="s">
        <v>649</v>
      </c>
    </row>
    <row r="59" spans="12:19" x14ac:dyDescent="0.25">
      <c r="L59" s="130" t="s">
        <v>66</v>
      </c>
      <c r="M59" s="130" t="s">
        <v>67</v>
      </c>
      <c r="S59" s="179" t="s">
        <v>650</v>
      </c>
    </row>
    <row r="60" spans="12:19" x14ac:dyDescent="0.25">
      <c r="L60" s="130" t="s">
        <v>68</v>
      </c>
      <c r="M60" s="130" t="s">
        <v>69</v>
      </c>
      <c r="S60" s="179" t="s">
        <v>651</v>
      </c>
    </row>
    <row r="61" spans="12:19" x14ac:dyDescent="0.25">
      <c r="L61" s="130" t="s">
        <v>70</v>
      </c>
      <c r="M61" s="130" t="s">
        <v>71</v>
      </c>
      <c r="S61" s="179" t="s">
        <v>652</v>
      </c>
    </row>
    <row r="62" spans="12:19" x14ac:dyDescent="0.25">
      <c r="L62" s="130" t="s">
        <v>72</v>
      </c>
      <c r="M62" s="130" t="s">
        <v>73</v>
      </c>
      <c r="S62" s="179" t="s">
        <v>653</v>
      </c>
    </row>
    <row r="63" spans="12:19" x14ac:dyDescent="0.25">
      <c r="L63" s="130" t="s">
        <v>74</v>
      </c>
      <c r="M63" s="130" t="s">
        <v>75</v>
      </c>
      <c r="S63" s="179" t="s">
        <v>654</v>
      </c>
    </row>
    <row r="64" spans="12:19" x14ac:dyDescent="0.25">
      <c r="L64" s="130" t="s">
        <v>76</v>
      </c>
      <c r="M64" s="130" t="s">
        <v>77</v>
      </c>
      <c r="S64" s="179" t="s">
        <v>655</v>
      </c>
    </row>
    <row r="65" spans="12:19" x14ac:dyDescent="0.25">
      <c r="L65" s="130" t="s">
        <v>78</v>
      </c>
      <c r="M65" s="130" t="s">
        <v>79</v>
      </c>
      <c r="S65" s="179" t="s">
        <v>656</v>
      </c>
    </row>
    <row r="66" spans="12:19" x14ac:dyDescent="0.25">
      <c r="L66" s="130" t="s">
        <v>80</v>
      </c>
      <c r="M66" s="130" t="s">
        <v>81</v>
      </c>
      <c r="S66" s="179" t="s">
        <v>657</v>
      </c>
    </row>
    <row r="67" spans="12:19" x14ac:dyDescent="0.25">
      <c r="L67" s="130" t="s">
        <v>82</v>
      </c>
      <c r="M67" s="130" t="s">
        <v>83</v>
      </c>
      <c r="S67" s="179" t="s">
        <v>658</v>
      </c>
    </row>
    <row r="68" spans="12:19" x14ac:dyDescent="0.25">
      <c r="L68" s="130" t="s">
        <v>84</v>
      </c>
      <c r="M68" s="130" t="s">
        <v>85</v>
      </c>
      <c r="S68" s="179" t="s">
        <v>659</v>
      </c>
    </row>
    <row r="69" spans="12:19" x14ac:dyDescent="0.25">
      <c r="L69" s="130" t="s">
        <v>86</v>
      </c>
      <c r="M69" s="130" t="s">
        <v>87</v>
      </c>
      <c r="S69" s="179" t="s">
        <v>660</v>
      </c>
    </row>
    <row r="70" spans="12:19" x14ac:dyDescent="0.25">
      <c r="L70" s="130" t="s">
        <v>88</v>
      </c>
      <c r="M70" s="130" t="s">
        <v>89</v>
      </c>
      <c r="S70" s="179" t="s">
        <v>661</v>
      </c>
    </row>
    <row r="71" spans="12:19" x14ac:dyDescent="0.25">
      <c r="L71" s="130" t="s">
        <v>90</v>
      </c>
      <c r="M71" s="130" t="s">
        <v>91</v>
      </c>
      <c r="S71" s="179" t="s">
        <v>662</v>
      </c>
    </row>
    <row r="72" spans="12:19" x14ac:dyDescent="0.25">
      <c r="L72" s="130" t="s">
        <v>92</v>
      </c>
      <c r="M72" s="130" t="s">
        <v>93</v>
      </c>
      <c r="S72" s="179" t="s">
        <v>663</v>
      </c>
    </row>
    <row r="73" spans="12:19" x14ac:dyDescent="0.25">
      <c r="L73" s="130" t="s">
        <v>94</v>
      </c>
      <c r="M73" s="130" t="s">
        <v>95</v>
      </c>
      <c r="S73" s="179" t="s">
        <v>664</v>
      </c>
    </row>
    <row r="74" spans="12:19" x14ac:dyDescent="0.25">
      <c r="L74" s="130" t="s">
        <v>96</v>
      </c>
      <c r="M74" s="130" t="s">
        <v>97</v>
      </c>
      <c r="S74" s="179" t="s">
        <v>665</v>
      </c>
    </row>
    <row r="75" spans="12:19" x14ac:dyDescent="0.25">
      <c r="L75" s="130" t="s">
        <v>98</v>
      </c>
      <c r="M75" s="130" t="s">
        <v>99</v>
      </c>
      <c r="S75" s="179" t="s">
        <v>666</v>
      </c>
    </row>
    <row r="76" spans="12:19" x14ac:dyDescent="0.25">
      <c r="L76" s="130" t="s">
        <v>100</v>
      </c>
      <c r="M76" s="130" t="s">
        <v>101</v>
      </c>
      <c r="S76" s="179" t="s">
        <v>667</v>
      </c>
    </row>
    <row r="77" spans="12:19" x14ac:dyDescent="0.25">
      <c r="L77" s="130" t="s">
        <v>102</v>
      </c>
      <c r="M77" s="130" t="s">
        <v>103</v>
      </c>
      <c r="S77" s="179" t="s">
        <v>668</v>
      </c>
    </row>
    <row r="78" spans="12:19" x14ac:dyDescent="0.25">
      <c r="L78" s="130" t="s">
        <v>104</v>
      </c>
      <c r="M78" s="130" t="s">
        <v>105</v>
      </c>
      <c r="S78" s="179" t="s">
        <v>669</v>
      </c>
    </row>
    <row r="79" spans="12:19" x14ac:dyDescent="0.25">
      <c r="L79" s="130" t="s">
        <v>106</v>
      </c>
      <c r="M79" s="130" t="s">
        <v>107</v>
      </c>
      <c r="S79" s="179" t="s">
        <v>670</v>
      </c>
    </row>
    <row r="80" spans="12:19" x14ac:dyDescent="0.25">
      <c r="L80" s="130" t="s">
        <v>108</v>
      </c>
      <c r="M80" s="130" t="s">
        <v>109</v>
      </c>
      <c r="S80" s="179" t="s">
        <v>671</v>
      </c>
    </row>
    <row r="81" spans="12:19" x14ac:dyDescent="0.25">
      <c r="L81" s="130" t="s">
        <v>110</v>
      </c>
      <c r="M81" s="130" t="s">
        <v>111</v>
      </c>
      <c r="S81" s="179" t="s">
        <v>672</v>
      </c>
    </row>
    <row r="82" spans="12:19" x14ac:dyDescent="0.25">
      <c r="L82" s="130" t="s">
        <v>112</v>
      </c>
      <c r="M82" s="130" t="s">
        <v>113</v>
      </c>
      <c r="S82" s="179" t="s">
        <v>673</v>
      </c>
    </row>
    <row r="83" spans="12:19" x14ac:dyDescent="0.25">
      <c r="L83" s="130" t="s">
        <v>114</v>
      </c>
      <c r="M83" s="130" t="s">
        <v>115</v>
      </c>
      <c r="S83" s="179" t="s">
        <v>674</v>
      </c>
    </row>
    <row r="84" spans="12:19" x14ac:dyDescent="0.25">
      <c r="L84" s="130" t="s">
        <v>116</v>
      </c>
      <c r="M84" s="130" t="s">
        <v>117</v>
      </c>
      <c r="S84" s="179" t="s">
        <v>675</v>
      </c>
    </row>
    <row r="85" spans="12:19" x14ac:dyDescent="0.25">
      <c r="L85" s="130" t="s">
        <v>118</v>
      </c>
      <c r="M85" s="130" t="s">
        <v>119</v>
      </c>
      <c r="S85" s="179" t="s">
        <v>676</v>
      </c>
    </row>
    <row r="86" spans="12:19" x14ac:dyDescent="0.25">
      <c r="L86" s="130" t="s">
        <v>120</v>
      </c>
      <c r="M86" s="130" t="s">
        <v>121</v>
      </c>
    </row>
    <row r="87" spans="12:19" x14ac:dyDescent="0.25">
      <c r="L87" s="130" t="s">
        <v>122</v>
      </c>
      <c r="M87" s="130" t="s">
        <v>123</v>
      </c>
    </row>
    <row r="88" spans="12:19" x14ac:dyDescent="0.25">
      <c r="L88" s="130" t="s">
        <v>124</v>
      </c>
      <c r="M88" s="130" t="s">
        <v>125</v>
      </c>
    </row>
    <row r="89" spans="12:19" x14ac:dyDescent="0.25">
      <c r="L89" s="130" t="s">
        <v>126</v>
      </c>
      <c r="M89" s="130" t="s">
        <v>127</v>
      </c>
    </row>
    <row r="90" spans="12:19" x14ac:dyDescent="0.25">
      <c r="L90" s="130" t="s">
        <v>128</v>
      </c>
      <c r="M90" s="130" t="s">
        <v>129</v>
      </c>
    </row>
    <row r="91" spans="12:19" x14ac:dyDescent="0.25">
      <c r="L91" s="130" t="s">
        <v>130</v>
      </c>
      <c r="M91" s="130" t="s">
        <v>131</v>
      </c>
    </row>
    <row r="92" spans="12:19" x14ac:dyDescent="0.25">
      <c r="L92" s="130" t="s">
        <v>132</v>
      </c>
      <c r="M92" s="130" t="s">
        <v>133</v>
      </c>
    </row>
    <row r="93" spans="12:19" x14ac:dyDescent="0.25">
      <c r="L93" s="130" t="s">
        <v>134</v>
      </c>
      <c r="M93" s="130" t="s">
        <v>135</v>
      </c>
    </row>
    <row r="94" spans="12:19" x14ac:dyDescent="0.25">
      <c r="L94" s="130" t="s">
        <v>136</v>
      </c>
      <c r="M94" s="130" t="s">
        <v>137</v>
      </c>
    </row>
    <row r="95" spans="12:19" x14ac:dyDescent="0.25">
      <c r="L95" s="130" t="s">
        <v>138</v>
      </c>
      <c r="M95" s="130" t="s">
        <v>139</v>
      </c>
    </row>
    <row r="96" spans="12:19" x14ac:dyDescent="0.25">
      <c r="L96" s="130" t="s">
        <v>140</v>
      </c>
      <c r="M96" s="130" t="s">
        <v>141</v>
      </c>
    </row>
    <row r="97" spans="12:13" x14ac:dyDescent="0.25">
      <c r="L97" s="130" t="s">
        <v>142</v>
      </c>
      <c r="M97" s="130" t="s">
        <v>143</v>
      </c>
    </row>
    <row r="98" spans="12:13" x14ac:dyDescent="0.25">
      <c r="L98" s="130" t="s">
        <v>144</v>
      </c>
      <c r="M98" s="130" t="s">
        <v>145</v>
      </c>
    </row>
    <row r="99" spans="12:13" x14ac:dyDescent="0.25">
      <c r="L99" s="130" t="s">
        <v>146</v>
      </c>
      <c r="M99" s="130" t="s">
        <v>147</v>
      </c>
    </row>
    <row r="100" spans="12:13" x14ac:dyDescent="0.25">
      <c r="L100" s="130" t="s">
        <v>148</v>
      </c>
      <c r="M100" s="130" t="s">
        <v>149</v>
      </c>
    </row>
    <row r="101" spans="12:13" x14ac:dyDescent="0.25">
      <c r="L101" s="130" t="s">
        <v>150</v>
      </c>
      <c r="M101" s="130" t="s">
        <v>151</v>
      </c>
    </row>
    <row r="102" spans="12:13" x14ac:dyDescent="0.25">
      <c r="L102" s="130" t="s">
        <v>152</v>
      </c>
      <c r="M102" s="130" t="s">
        <v>153</v>
      </c>
    </row>
    <row r="103" spans="12:13" x14ac:dyDescent="0.25">
      <c r="L103" s="130" t="s">
        <v>154</v>
      </c>
      <c r="M103" s="130" t="s">
        <v>155</v>
      </c>
    </row>
    <row r="104" spans="12:13" x14ac:dyDescent="0.25">
      <c r="L104" s="130" t="s">
        <v>156</v>
      </c>
      <c r="M104" s="130" t="s">
        <v>157</v>
      </c>
    </row>
    <row r="105" spans="12:13" x14ac:dyDescent="0.25">
      <c r="L105" s="130" t="s">
        <v>158</v>
      </c>
      <c r="M105" s="130" t="s">
        <v>159</v>
      </c>
    </row>
    <row r="106" spans="12:13" x14ac:dyDescent="0.25">
      <c r="L106" s="130" t="s">
        <v>160</v>
      </c>
      <c r="M106" s="130" t="s">
        <v>161</v>
      </c>
    </row>
    <row r="107" spans="12:13" x14ac:dyDescent="0.25">
      <c r="L107" s="130" t="s">
        <v>162</v>
      </c>
      <c r="M107" s="130" t="s">
        <v>163</v>
      </c>
    </row>
    <row r="108" spans="12:13" x14ac:dyDescent="0.25">
      <c r="L108" s="130" t="s">
        <v>164</v>
      </c>
      <c r="M108" s="130" t="s">
        <v>165</v>
      </c>
    </row>
    <row r="109" spans="12:13" x14ac:dyDescent="0.25">
      <c r="L109" s="130" t="s">
        <v>166</v>
      </c>
      <c r="M109" s="130" t="s">
        <v>167</v>
      </c>
    </row>
    <row r="110" spans="12:13" x14ac:dyDescent="0.25">
      <c r="L110" s="130" t="s">
        <v>168</v>
      </c>
      <c r="M110" s="130" t="s">
        <v>169</v>
      </c>
    </row>
    <row r="111" spans="12:13" x14ac:dyDescent="0.25">
      <c r="L111" s="130" t="s">
        <v>170</v>
      </c>
      <c r="M111" s="130" t="s">
        <v>171</v>
      </c>
    </row>
    <row r="112" spans="12:13" x14ac:dyDescent="0.25">
      <c r="L112" s="130" t="s">
        <v>172</v>
      </c>
      <c r="M112" s="130" t="s">
        <v>173</v>
      </c>
    </row>
    <row r="113" spans="12:13" x14ac:dyDescent="0.25">
      <c r="L113" s="130" t="s">
        <v>174</v>
      </c>
      <c r="M113" s="130" t="s">
        <v>175</v>
      </c>
    </row>
    <row r="114" spans="12:13" x14ac:dyDescent="0.25">
      <c r="L114" s="130" t="s">
        <v>176</v>
      </c>
      <c r="M114" s="130" t="s">
        <v>177</v>
      </c>
    </row>
    <row r="115" spans="12:13" x14ac:dyDescent="0.25">
      <c r="L115" s="130" t="s">
        <v>178</v>
      </c>
      <c r="M115" s="130" t="s">
        <v>179</v>
      </c>
    </row>
    <row r="116" spans="12:13" x14ac:dyDescent="0.25">
      <c r="L116" s="130" t="s">
        <v>180</v>
      </c>
      <c r="M116" s="130" t="s">
        <v>181</v>
      </c>
    </row>
    <row r="117" spans="12:13" x14ac:dyDescent="0.25">
      <c r="L117" s="130" t="s">
        <v>182</v>
      </c>
      <c r="M117" s="130" t="s">
        <v>183</v>
      </c>
    </row>
    <row r="118" spans="12:13" x14ac:dyDescent="0.25">
      <c r="L118" s="130" t="s">
        <v>184</v>
      </c>
      <c r="M118" s="130" t="s">
        <v>185</v>
      </c>
    </row>
    <row r="119" spans="12:13" x14ac:dyDescent="0.25">
      <c r="L119" s="130" t="s">
        <v>186</v>
      </c>
      <c r="M119" s="130" t="s">
        <v>187</v>
      </c>
    </row>
    <row r="120" spans="12:13" x14ac:dyDescent="0.25">
      <c r="L120" s="130" t="s">
        <v>188</v>
      </c>
      <c r="M120" s="130" t="s">
        <v>189</v>
      </c>
    </row>
    <row r="121" spans="12:13" x14ac:dyDescent="0.25">
      <c r="L121" s="130" t="s">
        <v>190</v>
      </c>
      <c r="M121" s="130" t="s">
        <v>191</v>
      </c>
    </row>
    <row r="122" spans="12:13" x14ac:dyDescent="0.25">
      <c r="L122" s="130" t="s">
        <v>192</v>
      </c>
      <c r="M122" s="130" t="s">
        <v>193</v>
      </c>
    </row>
    <row r="123" spans="12:13" x14ac:dyDescent="0.25">
      <c r="L123" s="130" t="s">
        <v>194</v>
      </c>
      <c r="M123" s="130" t="s">
        <v>195</v>
      </c>
    </row>
    <row r="124" spans="12:13" x14ac:dyDescent="0.25">
      <c r="L124" s="130" t="s">
        <v>196</v>
      </c>
      <c r="M124" s="130" t="s">
        <v>197</v>
      </c>
    </row>
    <row r="125" spans="12:13" x14ac:dyDescent="0.25">
      <c r="L125" s="130" t="s">
        <v>198</v>
      </c>
      <c r="M125" s="130" t="s">
        <v>199</v>
      </c>
    </row>
    <row r="126" spans="12:13" x14ac:dyDescent="0.25">
      <c r="L126" s="130" t="s">
        <v>200</v>
      </c>
      <c r="M126" s="130" t="s">
        <v>201</v>
      </c>
    </row>
    <row r="127" spans="12:13" x14ac:dyDescent="0.25">
      <c r="L127" s="130" t="s">
        <v>202</v>
      </c>
      <c r="M127" s="130" t="s">
        <v>203</v>
      </c>
    </row>
    <row r="128" spans="12:13" x14ac:dyDescent="0.25">
      <c r="L128" s="130" t="s">
        <v>204</v>
      </c>
      <c r="M128" s="130" t="s">
        <v>205</v>
      </c>
    </row>
    <row r="129" spans="12:13" x14ac:dyDescent="0.25">
      <c r="L129" s="130" t="s">
        <v>206</v>
      </c>
      <c r="M129" s="130" t="s">
        <v>207</v>
      </c>
    </row>
    <row r="130" spans="12:13" x14ac:dyDescent="0.25">
      <c r="L130" s="130" t="s">
        <v>208</v>
      </c>
      <c r="M130" s="130" t="s">
        <v>209</v>
      </c>
    </row>
    <row r="131" spans="12:13" x14ac:dyDescent="0.25">
      <c r="L131" s="130" t="s">
        <v>210</v>
      </c>
      <c r="M131" s="130" t="s">
        <v>211</v>
      </c>
    </row>
    <row r="132" spans="12:13" x14ac:dyDescent="0.25">
      <c r="L132" s="130" t="s">
        <v>212</v>
      </c>
      <c r="M132" s="130" t="s">
        <v>213</v>
      </c>
    </row>
    <row r="133" spans="12:13" x14ac:dyDescent="0.25">
      <c r="L133" s="130" t="s">
        <v>214</v>
      </c>
      <c r="M133" s="130" t="s">
        <v>215</v>
      </c>
    </row>
    <row r="134" spans="12:13" x14ac:dyDescent="0.25">
      <c r="L134" s="130" t="s">
        <v>216</v>
      </c>
      <c r="M134" s="130" t="s">
        <v>217</v>
      </c>
    </row>
    <row r="135" spans="12:13" x14ac:dyDescent="0.25">
      <c r="L135" s="130" t="s">
        <v>218</v>
      </c>
      <c r="M135" s="130" t="s">
        <v>219</v>
      </c>
    </row>
    <row r="136" spans="12:13" x14ac:dyDescent="0.25">
      <c r="L136" s="130" t="s">
        <v>220</v>
      </c>
      <c r="M136" s="130" t="s">
        <v>221</v>
      </c>
    </row>
    <row r="137" spans="12:13" x14ac:dyDescent="0.25">
      <c r="L137" s="130" t="s">
        <v>222</v>
      </c>
      <c r="M137" s="130" t="s">
        <v>223</v>
      </c>
    </row>
    <row r="138" spans="12:13" x14ac:dyDescent="0.25">
      <c r="L138" s="130" t="s">
        <v>224</v>
      </c>
      <c r="M138" s="130" t="s">
        <v>225</v>
      </c>
    </row>
    <row r="139" spans="12:13" x14ac:dyDescent="0.25">
      <c r="L139" s="130" t="s">
        <v>226</v>
      </c>
      <c r="M139" s="130" t="s">
        <v>227</v>
      </c>
    </row>
    <row r="140" spans="12:13" x14ac:dyDescent="0.25">
      <c r="L140" s="130" t="s">
        <v>228</v>
      </c>
      <c r="M140" s="130" t="s">
        <v>229</v>
      </c>
    </row>
    <row r="141" spans="12:13" x14ac:dyDescent="0.25">
      <c r="L141" s="130" t="s">
        <v>230</v>
      </c>
      <c r="M141" s="130" t="s">
        <v>231</v>
      </c>
    </row>
    <row r="142" spans="12:13" x14ac:dyDescent="0.25">
      <c r="L142" s="130" t="s">
        <v>232</v>
      </c>
      <c r="M142" s="130" t="s">
        <v>233</v>
      </c>
    </row>
    <row r="143" spans="12:13" x14ac:dyDescent="0.25">
      <c r="L143" s="130" t="s">
        <v>234</v>
      </c>
      <c r="M143" s="130" t="s">
        <v>235</v>
      </c>
    </row>
    <row r="144" spans="12:13" x14ac:dyDescent="0.25">
      <c r="L144" s="130" t="s">
        <v>236</v>
      </c>
      <c r="M144" s="130" t="s">
        <v>237</v>
      </c>
    </row>
    <row r="145" spans="12:13" x14ac:dyDescent="0.25">
      <c r="L145" s="130" t="s">
        <v>238</v>
      </c>
      <c r="M145" s="130" t="s">
        <v>239</v>
      </c>
    </row>
    <row r="146" spans="12:13" x14ac:dyDescent="0.25">
      <c r="L146" s="130" t="s">
        <v>240</v>
      </c>
      <c r="M146" s="130" t="s">
        <v>241</v>
      </c>
    </row>
    <row r="147" spans="12:13" x14ac:dyDescent="0.25">
      <c r="L147" s="130" t="s">
        <v>242</v>
      </c>
      <c r="M147" s="130" t="s">
        <v>243</v>
      </c>
    </row>
    <row r="148" spans="12:13" x14ac:dyDescent="0.25">
      <c r="L148" s="130" t="s">
        <v>244</v>
      </c>
      <c r="M148" s="130" t="s">
        <v>245</v>
      </c>
    </row>
    <row r="149" spans="12:13" x14ac:dyDescent="0.25">
      <c r="L149" s="130" t="s">
        <v>246</v>
      </c>
      <c r="M149" s="130" t="s">
        <v>247</v>
      </c>
    </row>
    <row r="150" spans="12:13" x14ac:dyDescent="0.25">
      <c r="L150" s="130" t="s">
        <v>248</v>
      </c>
      <c r="M150" s="130" t="s">
        <v>249</v>
      </c>
    </row>
    <row r="151" spans="12:13" x14ac:dyDescent="0.25">
      <c r="L151" s="130" t="s">
        <v>250</v>
      </c>
      <c r="M151" s="130" t="s">
        <v>251</v>
      </c>
    </row>
    <row r="152" spans="12:13" x14ac:dyDescent="0.25">
      <c r="L152" s="130" t="s">
        <v>252</v>
      </c>
      <c r="M152" s="130" t="s">
        <v>253</v>
      </c>
    </row>
    <row r="153" spans="12:13" x14ac:dyDescent="0.25">
      <c r="L153" s="130" t="s">
        <v>254</v>
      </c>
      <c r="M153" s="130" t="s">
        <v>255</v>
      </c>
    </row>
    <row r="154" spans="12:13" x14ac:dyDescent="0.25">
      <c r="L154" s="130" t="s">
        <v>256</v>
      </c>
      <c r="M154" s="130" t="s">
        <v>257</v>
      </c>
    </row>
    <row r="155" spans="12:13" x14ac:dyDescent="0.25">
      <c r="L155" s="130" t="s">
        <v>258</v>
      </c>
      <c r="M155" s="130" t="s">
        <v>259</v>
      </c>
    </row>
    <row r="156" spans="12:13" x14ac:dyDescent="0.25">
      <c r="L156" s="130" t="s">
        <v>260</v>
      </c>
      <c r="M156" s="130" t="s">
        <v>261</v>
      </c>
    </row>
    <row r="157" spans="12:13" x14ac:dyDescent="0.25">
      <c r="L157" s="130" t="s">
        <v>262</v>
      </c>
      <c r="M157" s="130" t="s">
        <v>263</v>
      </c>
    </row>
    <row r="158" spans="12:13" x14ac:dyDescent="0.25">
      <c r="L158" s="130" t="s">
        <v>264</v>
      </c>
      <c r="M158" s="130" t="s">
        <v>265</v>
      </c>
    </row>
    <row r="159" spans="12:13" x14ac:dyDescent="0.25">
      <c r="L159" s="130" t="s">
        <v>266</v>
      </c>
      <c r="M159" s="130" t="s">
        <v>267</v>
      </c>
    </row>
    <row r="160" spans="12:13" x14ac:dyDescent="0.25">
      <c r="L160" s="130" t="s">
        <v>268</v>
      </c>
      <c r="M160" s="130" t="s">
        <v>269</v>
      </c>
    </row>
    <row r="161" spans="12:13" x14ac:dyDescent="0.25">
      <c r="L161" s="130" t="s">
        <v>270</v>
      </c>
      <c r="M161" s="130" t="s">
        <v>271</v>
      </c>
    </row>
    <row r="162" spans="12:13" x14ac:dyDescent="0.25">
      <c r="L162" s="130" t="s">
        <v>272</v>
      </c>
      <c r="M162" s="130" t="s">
        <v>273</v>
      </c>
    </row>
    <row r="163" spans="12:13" x14ac:dyDescent="0.25">
      <c r="L163" s="130" t="s">
        <v>274</v>
      </c>
      <c r="M163" s="130" t="s">
        <v>275</v>
      </c>
    </row>
    <row r="164" spans="12:13" x14ac:dyDescent="0.25">
      <c r="L164" s="130" t="s">
        <v>276</v>
      </c>
      <c r="M164" s="130" t="s">
        <v>277</v>
      </c>
    </row>
    <row r="165" spans="12:13" x14ac:dyDescent="0.25">
      <c r="L165" s="130" t="s">
        <v>278</v>
      </c>
      <c r="M165" s="130" t="s">
        <v>279</v>
      </c>
    </row>
    <row r="166" spans="12:13" x14ac:dyDescent="0.25">
      <c r="L166" s="130" t="s">
        <v>280</v>
      </c>
      <c r="M166" s="130" t="s">
        <v>281</v>
      </c>
    </row>
    <row r="167" spans="12:13" x14ac:dyDescent="0.25">
      <c r="L167" s="130" t="s">
        <v>282</v>
      </c>
      <c r="M167" s="130" t="s">
        <v>283</v>
      </c>
    </row>
    <row r="168" spans="12:13" x14ac:dyDescent="0.25">
      <c r="L168" s="130" t="s">
        <v>284</v>
      </c>
      <c r="M168" s="130" t="s">
        <v>285</v>
      </c>
    </row>
    <row r="169" spans="12:13" x14ac:dyDescent="0.25">
      <c r="L169" s="130" t="s">
        <v>286</v>
      </c>
      <c r="M169" s="130" t="s">
        <v>287</v>
      </c>
    </row>
    <row r="170" spans="12:13" x14ac:dyDescent="0.25">
      <c r="L170" s="130" t="s">
        <v>288</v>
      </c>
      <c r="M170" s="130" t="s">
        <v>289</v>
      </c>
    </row>
    <row r="171" spans="12:13" x14ac:dyDescent="0.25">
      <c r="L171" s="130" t="s">
        <v>290</v>
      </c>
      <c r="M171" s="130" t="s">
        <v>291</v>
      </c>
    </row>
    <row r="172" spans="12:13" x14ac:dyDescent="0.25">
      <c r="L172" s="130" t="s">
        <v>292</v>
      </c>
      <c r="M172" s="130" t="s">
        <v>293</v>
      </c>
    </row>
    <row r="173" spans="12:13" x14ac:dyDescent="0.25">
      <c r="L173" s="130" t="s">
        <v>294</v>
      </c>
      <c r="M173" s="130" t="s">
        <v>295</v>
      </c>
    </row>
    <row r="174" spans="12:13" x14ac:dyDescent="0.25">
      <c r="L174" s="130" t="s">
        <v>296</v>
      </c>
      <c r="M174" s="130" t="s">
        <v>297</v>
      </c>
    </row>
    <row r="175" spans="12:13" x14ac:dyDescent="0.25">
      <c r="L175" s="130" t="s">
        <v>298</v>
      </c>
      <c r="M175" s="130" t="s">
        <v>299</v>
      </c>
    </row>
    <row r="176" spans="12:13" x14ac:dyDescent="0.25">
      <c r="L176" s="130" t="s">
        <v>300</v>
      </c>
      <c r="M176" s="130" t="s">
        <v>301</v>
      </c>
    </row>
    <row r="177" spans="12:13" x14ac:dyDescent="0.25">
      <c r="L177" s="130" t="s">
        <v>302</v>
      </c>
      <c r="M177" s="130" t="s">
        <v>303</v>
      </c>
    </row>
    <row r="178" spans="12:13" x14ac:dyDescent="0.25">
      <c r="L178" s="130" t="s">
        <v>304</v>
      </c>
      <c r="M178" s="130" t="s">
        <v>305</v>
      </c>
    </row>
    <row r="179" spans="12:13" x14ac:dyDescent="0.25">
      <c r="L179" s="130" t="s">
        <v>306</v>
      </c>
      <c r="M179" s="130" t="s">
        <v>307</v>
      </c>
    </row>
    <row r="180" spans="12:13" x14ac:dyDescent="0.25">
      <c r="L180" s="130" t="s">
        <v>308</v>
      </c>
      <c r="M180" s="130" t="s">
        <v>309</v>
      </c>
    </row>
    <row r="181" spans="12:13" x14ac:dyDescent="0.25">
      <c r="L181" s="130" t="s">
        <v>310</v>
      </c>
      <c r="M181" s="130" t="s">
        <v>311</v>
      </c>
    </row>
    <row r="182" spans="12:13" x14ac:dyDescent="0.25">
      <c r="L182" s="130" t="s">
        <v>312</v>
      </c>
      <c r="M182" s="130" t="s">
        <v>313</v>
      </c>
    </row>
    <row r="183" spans="12:13" x14ac:dyDescent="0.25">
      <c r="L183" s="130" t="s">
        <v>314</v>
      </c>
      <c r="M183" s="130" t="s">
        <v>315</v>
      </c>
    </row>
    <row r="184" spans="12:13" x14ac:dyDescent="0.25">
      <c r="L184" s="130" t="s">
        <v>316</v>
      </c>
      <c r="M184" s="130" t="s">
        <v>317</v>
      </c>
    </row>
    <row r="185" spans="12:13" x14ac:dyDescent="0.25">
      <c r="L185" s="130" t="s">
        <v>318</v>
      </c>
      <c r="M185" s="130" t="s">
        <v>319</v>
      </c>
    </row>
    <row r="186" spans="12:13" x14ac:dyDescent="0.25">
      <c r="L186" s="130" t="s">
        <v>320</v>
      </c>
      <c r="M186" s="130" t="s">
        <v>321</v>
      </c>
    </row>
    <row r="187" spans="12:13" x14ac:dyDescent="0.25">
      <c r="L187" s="130" t="s">
        <v>322</v>
      </c>
      <c r="M187" s="130" t="s">
        <v>323</v>
      </c>
    </row>
    <row r="188" spans="12:13" x14ac:dyDescent="0.25">
      <c r="L188" s="130" t="s">
        <v>324</v>
      </c>
      <c r="M188" s="130" t="s">
        <v>325</v>
      </c>
    </row>
    <row r="189" spans="12:13" x14ac:dyDescent="0.25">
      <c r="L189" s="130" t="s">
        <v>326</v>
      </c>
      <c r="M189" s="130" t="s">
        <v>327</v>
      </c>
    </row>
    <row r="190" spans="12:13" x14ac:dyDescent="0.25">
      <c r="L190" s="130" t="s">
        <v>328</v>
      </c>
      <c r="M190" s="130" t="s">
        <v>329</v>
      </c>
    </row>
    <row r="191" spans="12:13" x14ac:dyDescent="0.25">
      <c r="L191" s="130" t="s">
        <v>330</v>
      </c>
      <c r="M191" s="130" t="s">
        <v>331</v>
      </c>
    </row>
    <row r="192" spans="12:13" x14ac:dyDescent="0.25">
      <c r="L192" s="130" t="s">
        <v>332</v>
      </c>
      <c r="M192" s="130" t="s">
        <v>333</v>
      </c>
    </row>
    <row r="193" spans="12:13" x14ac:dyDescent="0.25">
      <c r="L193" s="130" t="s">
        <v>334</v>
      </c>
      <c r="M193" s="130" t="s">
        <v>335</v>
      </c>
    </row>
    <row r="194" spans="12:13" x14ac:dyDescent="0.25">
      <c r="L194" s="130" t="s">
        <v>336</v>
      </c>
      <c r="M194" s="130" t="s">
        <v>337</v>
      </c>
    </row>
    <row r="195" spans="12:13" x14ac:dyDescent="0.25">
      <c r="L195" s="130" t="s">
        <v>338</v>
      </c>
      <c r="M195" s="130" t="s">
        <v>339</v>
      </c>
    </row>
    <row r="196" spans="12:13" x14ac:dyDescent="0.25">
      <c r="L196" s="130" t="s">
        <v>340</v>
      </c>
      <c r="M196" s="130" t="s">
        <v>341</v>
      </c>
    </row>
    <row r="197" spans="12:13" x14ac:dyDescent="0.25">
      <c r="L197" s="130" t="s">
        <v>342</v>
      </c>
      <c r="M197" s="130" t="s">
        <v>343</v>
      </c>
    </row>
    <row r="198" spans="12:13" x14ac:dyDescent="0.25">
      <c r="L198" s="130" t="s">
        <v>344</v>
      </c>
      <c r="M198" s="130" t="s">
        <v>345</v>
      </c>
    </row>
    <row r="199" spans="12:13" x14ac:dyDescent="0.25">
      <c r="L199" s="130" t="s">
        <v>346</v>
      </c>
      <c r="M199" s="130" t="s">
        <v>347</v>
      </c>
    </row>
    <row r="200" spans="12:13" x14ac:dyDescent="0.25">
      <c r="L200" s="130" t="s">
        <v>348</v>
      </c>
      <c r="M200" s="130" t="s">
        <v>349</v>
      </c>
    </row>
    <row r="201" spans="12:13" x14ac:dyDescent="0.25">
      <c r="L201" s="130" t="s">
        <v>350</v>
      </c>
      <c r="M201" s="130" t="s">
        <v>351</v>
      </c>
    </row>
    <row r="202" spans="12:13" x14ac:dyDescent="0.25">
      <c r="L202" s="130" t="s">
        <v>352</v>
      </c>
      <c r="M202" s="130" t="s">
        <v>353</v>
      </c>
    </row>
    <row r="203" spans="12:13" x14ac:dyDescent="0.25">
      <c r="L203" s="130" t="s">
        <v>354</v>
      </c>
      <c r="M203" s="130" t="s">
        <v>355</v>
      </c>
    </row>
    <row r="204" spans="12:13" x14ac:dyDescent="0.25">
      <c r="L204" s="130" t="s">
        <v>356</v>
      </c>
      <c r="M204" s="130" t="s">
        <v>357</v>
      </c>
    </row>
    <row r="205" spans="12:13" x14ac:dyDescent="0.25">
      <c r="L205" s="130" t="s">
        <v>358</v>
      </c>
      <c r="M205" s="130" t="s">
        <v>359</v>
      </c>
    </row>
    <row r="206" spans="12:13" x14ac:dyDescent="0.25">
      <c r="L206" s="130" t="s">
        <v>360</v>
      </c>
      <c r="M206" s="130" t="s">
        <v>361</v>
      </c>
    </row>
    <row r="207" spans="12:13" x14ac:dyDescent="0.25">
      <c r="L207" s="130" t="s">
        <v>362</v>
      </c>
      <c r="M207" s="130" t="s">
        <v>363</v>
      </c>
    </row>
    <row r="208" spans="12:13" x14ac:dyDescent="0.25">
      <c r="L208" s="130" t="s">
        <v>364</v>
      </c>
      <c r="M208" s="130" t="s">
        <v>365</v>
      </c>
    </row>
    <row r="209" spans="12:13" x14ac:dyDescent="0.25">
      <c r="L209" s="130" t="s">
        <v>366</v>
      </c>
      <c r="M209" s="130" t="s">
        <v>367</v>
      </c>
    </row>
    <row r="210" spans="12:13" x14ac:dyDescent="0.25">
      <c r="L210" s="130" t="s">
        <v>368</v>
      </c>
      <c r="M210" s="130" t="s">
        <v>369</v>
      </c>
    </row>
    <row r="211" spans="12:13" x14ac:dyDescent="0.25">
      <c r="L211" s="130" t="s">
        <v>370</v>
      </c>
      <c r="M211" s="130" t="s">
        <v>371</v>
      </c>
    </row>
    <row r="212" spans="12:13" x14ac:dyDescent="0.25">
      <c r="L212" s="130" t="s">
        <v>372</v>
      </c>
      <c r="M212" s="130" t="s">
        <v>373</v>
      </c>
    </row>
    <row r="213" spans="12:13" x14ac:dyDescent="0.25">
      <c r="L213" s="130" t="s">
        <v>374</v>
      </c>
      <c r="M213" s="130" t="s">
        <v>375</v>
      </c>
    </row>
    <row r="214" spans="12:13" x14ac:dyDescent="0.25">
      <c r="L214" s="130" t="s">
        <v>376</v>
      </c>
      <c r="M214" s="130" t="s">
        <v>377</v>
      </c>
    </row>
    <row r="215" spans="12:13" x14ac:dyDescent="0.25">
      <c r="L215" s="130" t="s">
        <v>378</v>
      </c>
      <c r="M215" s="130" t="s">
        <v>379</v>
      </c>
    </row>
    <row r="216" spans="12:13" x14ac:dyDescent="0.25">
      <c r="L216" s="130" t="s">
        <v>380</v>
      </c>
      <c r="M216" s="130" t="s">
        <v>381</v>
      </c>
    </row>
    <row r="217" spans="12:13" x14ac:dyDescent="0.25">
      <c r="L217" s="130" t="s">
        <v>382</v>
      </c>
      <c r="M217" s="130" t="s">
        <v>383</v>
      </c>
    </row>
    <row r="218" spans="12:13" x14ac:dyDescent="0.25">
      <c r="L218" s="130" t="s">
        <v>384</v>
      </c>
      <c r="M218" s="130" t="s">
        <v>385</v>
      </c>
    </row>
    <row r="219" spans="12:13" x14ac:dyDescent="0.25">
      <c r="L219" s="130" t="s">
        <v>386</v>
      </c>
      <c r="M219" s="130" t="s">
        <v>387</v>
      </c>
    </row>
    <row r="220" spans="12:13" x14ac:dyDescent="0.25">
      <c r="L220" s="130" t="s">
        <v>388</v>
      </c>
      <c r="M220" s="130" t="s">
        <v>389</v>
      </c>
    </row>
    <row r="221" spans="12:13" x14ac:dyDescent="0.25">
      <c r="L221" s="130" t="s">
        <v>390</v>
      </c>
      <c r="M221" s="130" t="s">
        <v>391</v>
      </c>
    </row>
    <row r="222" spans="12:13" x14ac:dyDescent="0.25">
      <c r="L222" s="130" t="s">
        <v>392</v>
      </c>
      <c r="M222" s="130" t="s">
        <v>393</v>
      </c>
    </row>
    <row r="223" spans="12:13" x14ac:dyDescent="0.25">
      <c r="L223" s="130" t="s">
        <v>394</v>
      </c>
      <c r="M223" s="130" t="s">
        <v>395</v>
      </c>
    </row>
    <row r="224" spans="12:13" x14ac:dyDescent="0.25">
      <c r="L224" s="130" t="s">
        <v>396</v>
      </c>
      <c r="M224" s="130" t="s">
        <v>397</v>
      </c>
    </row>
    <row r="225" spans="12:13" x14ac:dyDescent="0.25">
      <c r="L225" s="130" t="s">
        <v>398</v>
      </c>
      <c r="M225" s="130" t="s">
        <v>399</v>
      </c>
    </row>
    <row r="226" spans="12:13" x14ac:dyDescent="0.25">
      <c r="L226" s="130" t="s">
        <v>400</v>
      </c>
      <c r="M226" s="130" t="s">
        <v>401</v>
      </c>
    </row>
    <row r="227" spans="12:13" x14ac:dyDescent="0.25">
      <c r="L227" s="130" t="s">
        <v>402</v>
      </c>
      <c r="M227" s="130" t="s">
        <v>403</v>
      </c>
    </row>
    <row r="228" spans="12:13" x14ac:dyDescent="0.25">
      <c r="L228" s="130" t="s">
        <v>404</v>
      </c>
      <c r="M228" s="130" t="s">
        <v>405</v>
      </c>
    </row>
    <row r="229" spans="12:13" x14ac:dyDescent="0.25">
      <c r="L229" s="130" t="s">
        <v>406</v>
      </c>
      <c r="M229" s="130" t="s">
        <v>407</v>
      </c>
    </row>
    <row r="230" spans="12:13" x14ac:dyDescent="0.25">
      <c r="L230" s="130" t="s">
        <v>408</v>
      </c>
      <c r="M230" s="130" t="s">
        <v>409</v>
      </c>
    </row>
    <row r="231" spans="12:13" x14ac:dyDescent="0.25">
      <c r="L231" s="130" t="s">
        <v>410</v>
      </c>
      <c r="M231" s="130" t="s">
        <v>411</v>
      </c>
    </row>
    <row r="232" spans="12:13" x14ac:dyDescent="0.25">
      <c r="L232" s="130" t="s">
        <v>412</v>
      </c>
      <c r="M232" s="130" t="s">
        <v>413</v>
      </c>
    </row>
    <row r="233" spans="12:13" x14ac:dyDescent="0.25">
      <c r="L233" s="130" t="s">
        <v>414</v>
      </c>
      <c r="M233" s="130" t="s">
        <v>415</v>
      </c>
    </row>
    <row r="234" spans="12:13" x14ac:dyDescent="0.25">
      <c r="L234" s="130" t="s">
        <v>416</v>
      </c>
      <c r="M234" s="130" t="s">
        <v>417</v>
      </c>
    </row>
    <row r="235" spans="12:13" x14ac:dyDescent="0.25">
      <c r="L235" s="130" t="s">
        <v>418</v>
      </c>
      <c r="M235" s="130" t="s">
        <v>419</v>
      </c>
    </row>
    <row r="236" spans="12:13" x14ac:dyDescent="0.25">
      <c r="L236" s="130" t="s">
        <v>420</v>
      </c>
      <c r="M236" s="130" t="s">
        <v>421</v>
      </c>
    </row>
    <row r="237" spans="12:13" x14ac:dyDescent="0.25">
      <c r="L237" s="130" t="s">
        <v>422</v>
      </c>
      <c r="M237" s="130" t="s">
        <v>423</v>
      </c>
    </row>
    <row r="238" spans="12:13" x14ac:dyDescent="0.25">
      <c r="L238" s="130" t="s">
        <v>424</v>
      </c>
      <c r="M238" s="130" t="s">
        <v>425</v>
      </c>
    </row>
    <row r="239" spans="12:13" x14ac:dyDescent="0.25">
      <c r="L239" s="130" t="s">
        <v>426</v>
      </c>
      <c r="M239" s="130" t="s">
        <v>427</v>
      </c>
    </row>
    <row r="240" spans="12:13" x14ac:dyDescent="0.25">
      <c r="L240" s="130" t="s">
        <v>428</v>
      </c>
      <c r="M240" s="130" t="s">
        <v>429</v>
      </c>
    </row>
    <row r="241" spans="12:13" x14ac:dyDescent="0.25">
      <c r="L241" s="130" t="s">
        <v>430</v>
      </c>
      <c r="M241" s="130" t="s">
        <v>431</v>
      </c>
    </row>
    <row r="242" spans="12:13" x14ac:dyDescent="0.25">
      <c r="L242" s="130" t="s">
        <v>432</v>
      </c>
      <c r="M242" s="130" t="s">
        <v>433</v>
      </c>
    </row>
    <row r="243" spans="12:13" x14ac:dyDescent="0.25">
      <c r="L243" s="130" t="s">
        <v>434</v>
      </c>
      <c r="M243" s="130" t="s">
        <v>435</v>
      </c>
    </row>
    <row r="244" spans="12:13" x14ac:dyDescent="0.25">
      <c r="L244" s="130" t="s">
        <v>436</v>
      </c>
      <c r="M244" s="130" t="s">
        <v>437</v>
      </c>
    </row>
    <row r="245" spans="12:13" x14ac:dyDescent="0.25">
      <c r="L245" s="130" t="s">
        <v>438</v>
      </c>
      <c r="M245" s="130" t="s">
        <v>439</v>
      </c>
    </row>
    <row r="246" spans="12:13" x14ac:dyDescent="0.25">
      <c r="L246" s="130" t="s">
        <v>440</v>
      </c>
      <c r="M246" s="130" t="s">
        <v>441</v>
      </c>
    </row>
    <row r="247" spans="12:13" x14ac:dyDescent="0.25">
      <c r="L247" s="130" t="s">
        <v>442</v>
      </c>
      <c r="M247" s="130" t="s">
        <v>443</v>
      </c>
    </row>
    <row r="248" spans="12:13" x14ac:dyDescent="0.25">
      <c r="L248" s="130" t="s">
        <v>444</v>
      </c>
      <c r="M248" s="130" t="s">
        <v>445</v>
      </c>
    </row>
    <row r="249" spans="12:13" x14ac:dyDescent="0.25">
      <c r="L249" s="130" t="s">
        <v>446</v>
      </c>
      <c r="M249" s="130" t="s">
        <v>447</v>
      </c>
    </row>
    <row r="250" spans="12:13" x14ac:dyDescent="0.25">
      <c r="L250" s="130" t="s">
        <v>448</v>
      </c>
      <c r="M250" s="130" t="s">
        <v>449</v>
      </c>
    </row>
    <row r="251" spans="12:13" x14ac:dyDescent="0.25">
      <c r="L251" s="130" t="s">
        <v>450</v>
      </c>
      <c r="M251" s="130" t="s">
        <v>451</v>
      </c>
    </row>
    <row r="252" spans="12:13" x14ac:dyDescent="0.25">
      <c r="L252" s="130" t="s">
        <v>452</v>
      </c>
      <c r="M252" s="130" t="s">
        <v>453</v>
      </c>
    </row>
    <row r="253" spans="12:13" x14ac:dyDescent="0.25">
      <c r="L253" s="130" t="s">
        <v>454</v>
      </c>
      <c r="M253" s="130" t="s">
        <v>455</v>
      </c>
    </row>
    <row r="254" spans="12:13" x14ac:dyDescent="0.25">
      <c r="L254" s="130" t="s">
        <v>456</v>
      </c>
      <c r="M254" s="130" t="s">
        <v>457</v>
      </c>
    </row>
    <row r="255" spans="12:13" x14ac:dyDescent="0.25">
      <c r="L255" s="130" t="s">
        <v>458</v>
      </c>
      <c r="M255" s="130" t="s">
        <v>459</v>
      </c>
    </row>
    <row r="256" spans="12:13" x14ac:dyDescent="0.25">
      <c r="L256" s="130" t="s">
        <v>460</v>
      </c>
      <c r="M256" s="130" t="s">
        <v>461</v>
      </c>
    </row>
    <row r="257" spans="12:13" x14ac:dyDescent="0.25">
      <c r="L257" s="130" t="s">
        <v>462</v>
      </c>
      <c r="M257" s="130" t="s">
        <v>463</v>
      </c>
    </row>
    <row r="258" spans="12:13" x14ac:dyDescent="0.25">
      <c r="L258" s="130" t="s">
        <v>464</v>
      </c>
      <c r="M258" s="130" t="s">
        <v>465</v>
      </c>
    </row>
    <row r="259" spans="12:13" x14ac:dyDescent="0.25">
      <c r="L259" s="130" t="s">
        <v>466</v>
      </c>
      <c r="M259" s="130" t="s">
        <v>467</v>
      </c>
    </row>
    <row r="260" spans="12:13" x14ac:dyDescent="0.25">
      <c r="L260" s="130" t="s">
        <v>468</v>
      </c>
      <c r="M260" s="130" t="s">
        <v>469</v>
      </c>
    </row>
    <row r="261" spans="12:13" x14ac:dyDescent="0.25">
      <c r="L261" s="130" t="s">
        <v>470</v>
      </c>
      <c r="M261" s="130" t="s">
        <v>471</v>
      </c>
    </row>
    <row r="262" spans="12:13" x14ac:dyDescent="0.25">
      <c r="L262" s="130" t="s">
        <v>472</v>
      </c>
      <c r="M262" s="130" t="s">
        <v>473</v>
      </c>
    </row>
    <row r="263" spans="12:13" x14ac:dyDescent="0.25">
      <c r="L263" s="130" t="s">
        <v>474</v>
      </c>
      <c r="M263" s="130" t="s">
        <v>475</v>
      </c>
    </row>
    <row r="264" spans="12:13" x14ac:dyDescent="0.25">
      <c r="L264" s="130" t="s">
        <v>476</v>
      </c>
      <c r="M264" s="130" t="s">
        <v>477</v>
      </c>
    </row>
    <row r="265" spans="12:13" x14ac:dyDescent="0.25">
      <c r="L265" s="130" t="s">
        <v>478</v>
      </c>
      <c r="M265" s="130" t="s">
        <v>479</v>
      </c>
    </row>
    <row r="266" spans="12:13" x14ac:dyDescent="0.25">
      <c r="L266" s="130" t="s">
        <v>480</v>
      </c>
      <c r="M266" s="130" t="s">
        <v>481</v>
      </c>
    </row>
    <row r="267" spans="12:13" x14ac:dyDescent="0.25">
      <c r="L267" s="130" t="s">
        <v>482</v>
      </c>
      <c r="M267" s="130" t="s">
        <v>483</v>
      </c>
    </row>
    <row r="268" spans="12:13" x14ac:dyDescent="0.25">
      <c r="L268" s="130" t="s">
        <v>484</v>
      </c>
      <c r="M268" s="130" t="s">
        <v>485</v>
      </c>
    </row>
    <row r="269" spans="12:13" x14ac:dyDescent="0.25">
      <c r="L269" s="130" t="s">
        <v>486</v>
      </c>
      <c r="M269" s="130" t="s">
        <v>487</v>
      </c>
    </row>
    <row r="270" spans="12:13" x14ac:dyDescent="0.25">
      <c r="L270" s="130" t="s">
        <v>488</v>
      </c>
      <c r="M270" s="130" t="s">
        <v>489</v>
      </c>
    </row>
    <row r="271" spans="12:13" x14ac:dyDescent="0.25">
      <c r="L271" s="130" t="s">
        <v>490</v>
      </c>
      <c r="M271" s="130" t="s">
        <v>491</v>
      </c>
    </row>
    <row r="272" spans="12:13" x14ac:dyDescent="0.25">
      <c r="L272" s="130" t="s">
        <v>492</v>
      </c>
      <c r="M272" s="130" t="s">
        <v>493</v>
      </c>
    </row>
    <row r="274" spans="12:12" x14ac:dyDescent="0.25">
      <c r="L274" s="131" t="s">
        <v>496</v>
      </c>
    </row>
    <row r="275" spans="12:12" x14ac:dyDescent="0.25">
      <c r="L275" s="130" t="s">
        <v>497</v>
      </c>
    </row>
    <row r="276" spans="12:12" x14ac:dyDescent="0.25">
      <c r="L276" s="130" t="s">
        <v>498</v>
      </c>
    </row>
    <row r="277" spans="12:12" x14ac:dyDescent="0.25">
      <c r="L277" s="130" t="s">
        <v>499</v>
      </c>
    </row>
    <row r="278" spans="12:12" x14ac:dyDescent="0.25">
      <c r="L278" s="130" t="s">
        <v>500</v>
      </c>
    </row>
    <row r="279" spans="12:12" x14ac:dyDescent="0.25">
      <c r="L279" s="130" t="s">
        <v>501</v>
      </c>
    </row>
    <row r="280" spans="12:12" x14ac:dyDescent="0.25">
      <c r="L280" s="130" t="s">
        <v>502</v>
      </c>
    </row>
    <row r="281" spans="12:12" x14ac:dyDescent="0.25">
      <c r="L281" s="130" t="s">
        <v>503</v>
      </c>
    </row>
    <row r="282" spans="12:12" x14ac:dyDescent="0.25">
      <c r="L282" s="130" t="s">
        <v>504</v>
      </c>
    </row>
    <row r="283" spans="12:12" x14ac:dyDescent="0.25">
      <c r="L283" s="130" t="s">
        <v>505</v>
      </c>
    </row>
    <row r="284" spans="12:12" x14ac:dyDescent="0.25">
      <c r="L284" s="130" t="s">
        <v>506</v>
      </c>
    </row>
    <row r="285" spans="12:12" x14ac:dyDescent="0.25">
      <c r="L285" s="130" t="s">
        <v>507</v>
      </c>
    </row>
    <row r="286" spans="12:12" x14ac:dyDescent="0.25">
      <c r="L286" s="130" t="s">
        <v>508</v>
      </c>
    </row>
    <row r="287" spans="12:12" x14ac:dyDescent="0.25">
      <c r="L287" s="130" t="s">
        <v>509</v>
      </c>
    </row>
    <row r="288" spans="12:12" x14ac:dyDescent="0.25">
      <c r="L288" s="130" t="s">
        <v>510</v>
      </c>
    </row>
    <row r="289" spans="12:12" x14ac:dyDescent="0.25">
      <c r="L289" s="130" t="s">
        <v>511</v>
      </c>
    </row>
    <row r="290" spans="12:12" x14ac:dyDescent="0.25">
      <c r="L290" s="130" t="s">
        <v>512</v>
      </c>
    </row>
    <row r="291" spans="12:12" x14ac:dyDescent="0.25">
      <c r="L291" s="130" t="s">
        <v>513</v>
      </c>
    </row>
    <row r="292" spans="12:12" x14ac:dyDescent="0.25">
      <c r="L292" s="130" t="s">
        <v>514</v>
      </c>
    </row>
    <row r="293" spans="12:12" x14ac:dyDescent="0.25">
      <c r="L293" s="130" t="s">
        <v>515</v>
      </c>
    </row>
    <row r="294" spans="12:12" x14ac:dyDescent="0.25">
      <c r="L294" s="130" t="s">
        <v>516</v>
      </c>
    </row>
    <row r="295" spans="12:12" x14ac:dyDescent="0.25">
      <c r="L295" s="130" t="s">
        <v>517</v>
      </c>
    </row>
    <row r="296" spans="12:12" x14ac:dyDescent="0.25">
      <c r="L296" s="130" t="s">
        <v>518</v>
      </c>
    </row>
    <row r="297" spans="12:12" x14ac:dyDescent="0.25">
      <c r="L297" s="130" t="s">
        <v>519</v>
      </c>
    </row>
    <row r="298" spans="12:12" x14ac:dyDescent="0.25">
      <c r="L298" s="130" t="s">
        <v>520</v>
      </c>
    </row>
    <row r="299" spans="12:12" x14ac:dyDescent="0.25">
      <c r="L299" s="130" t="s">
        <v>521</v>
      </c>
    </row>
    <row r="300" spans="12:12" x14ac:dyDescent="0.25">
      <c r="L300" s="130" t="s">
        <v>522</v>
      </c>
    </row>
    <row r="301" spans="12:12" x14ac:dyDescent="0.25">
      <c r="L301" s="130" t="s">
        <v>523</v>
      </c>
    </row>
    <row r="303" spans="12:12" x14ac:dyDescent="0.25">
      <c r="L303" s="131" t="s">
        <v>524</v>
      </c>
    </row>
    <row r="304" spans="12:12" x14ac:dyDescent="0.25">
      <c r="L304" s="130" t="s">
        <v>525</v>
      </c>
    </row>
    <row r="305" spans="12:12" x14ac:dyDescent="0.25">
      <c r="L305" s="130" t="s">
        <v>526</v>
      </c>
    </row>
    <row r="306" spans="12:12" x14ac:dyDescent="0.25">
      <c r="L306" s="130" t="s">
        <v>527</v>
      </c>
    </row>
    <row r="307" spans="12:12" x14ac:dyDescent="0.25">
      <c r="L307" s="130" t="s">
        <v>528</v>
      </c>
    </row>
    <row r="308" spans="12:12" x14ac:dyDescent="0.25">
      <c r="L308" s="130" t="s">
        <v>529</v>
      </c>
    </row>
    <row r="309" spans="12:12" x14ac:dyDescent="0.25">
      <c r="L309" s="130" t="s">
        <v>530</v>
      </c>
    </row>
    <row r="310" spans="12:12" x14ac:dyDescent="0.25">
      <c r="L310" s="130" t="s">
        <v>531</v>
      </c>
    </row>
    <row r="311" spans="12:12" x14ac:dyDescent="0.25">
      <c r="L311" s="130" t="s">
        <v>532</v>
      </c>
    </row>
    <row r="312" spans="12:12" x14ac:dyDescent="0.25">
      <c r="L312" s="130" t="s">
        <v>533</v>
      </c>
    </row>
    <row r="313" spans="12:12" x14ac:dyDescent="0.25">
      <c r="L313" s="130" t="s">
        <v>534</v>
      </c>
    </row>
    <row r="314" spans="12:12" x14ac:dyDescent="0.25">
      <c r="L314" s="130" t="s">
        <v>535</v>
      </c>
    </row>
    <row r="315" spans="12:12" x14ac:dyDescent="0.25">
      <c r="L315" s="130" t="s">
        <v>536</v>
      </c>
    </row>
    <row r="316" spans="12:12" x14ac:dyDescent="0.25">
      <c r="L316" s="130" t="s">
        <v>537</v>
      </c>
    </row>
    <row r="317" spans="12:12" x14ac:dyDescent="0.25">
      <c r="L317" s="130" t="s">
        <v>538</v>
      </c>
    </row>
    <row r="318" spans="12:12" x14ac:dyDescent="0.25">
      <c r="L318" s="130" t="s">
        <v>539</v>
      </c>
    </row>
    <row r="319" spans="12:12" x14ac:dyDescent="0.25">
      <c r="L319" s="130" t="s">
        <v>540</v>
      </c>
    </row>
    <row r="320" spans="12:12" x14ac:dyDescent="0.25">
      <c r="L320" s="130" t="s">
        <v>541</v>
      </c>
    </row>
    <row r="321" spans="12:12" x14ac:dyDescent="0.25">
      <c r="L321" s="130" t="s">
        <v>542</v>
      </c>
    </row>
    <row r="322" spans="12:12" x14ac:dyDescent="0.25">
      <c r="L322" s="130" t="s">
        <v>543</v>
      </c>
    </row>
  </sheetData>
  <sheetProtection algorithmName="SHA-512" hashValue="BJhJ833gm45MuxsUN7joYVkb6kWEYt/BEn3C0L9Jt6uGf2L86VGoFpjaVh6GwIUL2zDAXWA+sjB2AhfhJzBIyA==" saltValue="iOUQBeFzUysIpx7I421Chg==" spinCount="100000" sheet="1" objects="1" scenarios="1"/>
  <mergeCells count="9">
    <mergeCell ref="C17:E17"/>
    <mergeCell ref="C29:F29"/>
    <mergeCell ref="C21:E21"/>
    <mergeCell ref="C3:F3"/>
    <mergeCell ref="C15:E15"/>
    <mergeCell ref="C16:E16"/>
    <mergeCell ref="C18:E18"/>
    <mergeCell ref="C19:E19"/>
    <mergeCell ref="C20:E20"/>
  </mergeCells>
  <dataValidations count="9">
    <dataValidation type="list" allowBlank="1" showInputMessage="1" showErrorMessage="1" sqref="F24" xr:uid="{00000000-0002-0000-0000-000000000000}">
      <formula1>newMet</formula1>
    </dataValidation>
    <dataValidation type="whole" allowBlank="1" showInputMessage="1" showErrorMessage="1" error="Year must be four digit." sqref="F15" xr:uid="{00000000-0002-0000-0000-000001000000}">
      <formula1>1000</formula1>
      <formula2>9999</formula2>
    </dataValidation>
    <dataValidation type="decimal" allowBlank="1" showInputMessage="1" showErrorMessage="1" error="Character are not allowed in this field." sqref="F21" xr:uid="{00000000-0002-0000-0000-000002000000}">
      <formula1>0</formula1>
      <formula2>999999999</formula2>
    </dataValidation>
    <dataValidation type="list" allowBlank="1" showInputMessage="1" showErrorMessage="1" sqref="F9" xr:uid="{00000000-0002-0000-0000-000003000000}">
      <formula1>"IP units, SI units"</formula1>
    </dataValidation>
    <dataValidation type="whole" allowBlank="1" showInputMessage="1" showErrorMessage="1" errorTitle="Weekly Operating Hours" error="It can accepts integer values from 1 to 168." sqref="F18" xr:uid="{00000000-0002-0000-0000-000004000000}">
      <formula1>1</formula1>
      <formula2>168</formula2>
    </dataValidation>
    <dataValidation type="whole" allowBlank="1" showInputMessage="1" showErrorMessage="1" errorTitle="Full time staff" error="Integers are only allowed in this fields" sqref="F19" xr:uid="{00000000-0002-0000-0000-000005000000}">
      <formula1>0</formula1>
      <formula2>999999999</formula2>
    </dataValidation>
    <dataValidation type="custom" allowBlank="1" showInputMessage="1" showErrorMessage="1" errorTitle="Gross Floor Area" error="Enter total built area in square feet (Max: 20499999 square feet)" sqref="F16" xr:uid="{00000000-0002-0000-0000-000006000000}">
      <formula1>F16&lt;5000000</formula1>
    </dataValidation>
    <dataValidation type="whole" allowBlank="1" showInputMessage="1" showErrorMessage="1" errorTitle="Annual ridership" error="Integers are only allowed in this fields" sqref="F17" xr:uid="{00000000-0002-0000-0000-000007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 xr:uid="{00000000-0002-0000-0000-000008000000}">
      <formula1>0</formula1>
      <formula2>999999999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J4" sqref="J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603</v>
      </c>
      <c r="B2" s="183" t="s">
        <v>568</v>
      </c>
      <c r="C2" s="186"/>
      <c r="D2" s="184"/>
      <c r="E2" s="1"/>
    </row>
    <row r="3" spans="1:9" x14ac:dyDescent="0.25">
      <c r="A3" s="6" t="s">
        <v>603</v>
      </c>
      <c r="B3" s="182" t="s">
        <v>688</v>
      </c>
      <c r="C3" s="187"/>
      <c r="D3" s="184" t="s">
        <v>680</v>
      </c>
      <c r="E3" s="1"/>
    </row>
    <row r="4" spans="1:9" x14ac:dyDescent="0.25">
      <c r="A4" s="6" t="s">
        <v>603</v>
      </c>
      <c r="B4" s="182" t="s">
        <v>570</v>
      </c>
      <c r="C4" s="187"/>
      <c r="D4" s="184" t="s">
        <v>528</v>
      </c>
      <c r="E4" s="1"/>
    </row>
    <row r="5" spans="1:9" x14ac:dyDescent="0.25">
      <c r="A5" s="6" t="s">
        <v>603</v>
      </c>
      <c r="B5" s="49" t="s">
        <v>689</v>
      </c>
      <c r="C5" s="188"/>
      <c r="D5" s="184"/>
      <c r="E5" s="1"/>
    </row>
    <row r="6" spans="1:9" ht="24.75" customHeight="1" x14ac:dyDescent="0.25">
      <c r="A6" s="6">
        <v>10</v>
      </c>
      <c r="B6" s="185" t="s">
        <v>547</v>
      </c>
      <c r="C6" s="185" t="s">
        <v>548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680</v>
      </c>
    </row>
    <row r="10" spans="1:9" ht="25.5" customHeight="1" x14ac:dyDescent="0.25">
      <c r="A10" s="6" t="s">
        <v>549</v>
      </c>
      <c r="B10" s="34"/>
      <c r="C10" s="34"/>
      <c r="D10" s="34"/>
      <c r="E10" s="1"/>
      <c r="I10" t="s">
        <v>681</v>
      </c>
    </row>
    <row r="11" spans="1:9" x14ac:dyDescent="0.25">
      <c r="I11" t="s">
        <v>682</v>
      </c>
    </row>
    <row r="15" spans="1:9" x14ac:dyDescent="0.25">
      <c r="H15" s="5" t="s">
        <v>528</v>
      </c>
    </row>
    <row r="16" spans="1:9" x14ac:dyDescent="0.25">
      <c r="H16" s="5" t="s">
        <v>531</v>
      </c>
    </row>
    <row r="17" spans="8:8" x14ac:dyDescent="0.25">
      <c r="H17" s="5" t="s">
        <v>550</v>
      </c>
    </row>
    <row r="18" spans="8:8" x14ac:dyDescent="0.25">
      <c r="H18" s="5" t="s">
        <v>551</v>
      </c>
    </row>
    <row r="19" spans="8:8" x14ac:dyDescent="0.25">
      <c r="H19" s="5" t="s">
        <v>525</v>
      </c>
    </row>
    <row r="20" spans="8:8" x14ac:dyDescent="0.25">
      <c r="H20" s="5" t="s">
        <v>530</v>
      </c>
    </row>
    <row r="21" spans="8:8" x14ac:dyDescent="0.25">
      <c r="H21" s="5" t="s">
        <v>545</v>
      </c>
    </row>
    <row r="22" spans="8:8" x14ac:dyDescent="0.25">
      <c r="H22" s="5" t="s">
        <v>564</v>
      </c>
    </row>
    <row r="23" spans="8:8" x14ac:dyDescent="0.25">
      <c r="H23" s="5" t="s">
        <v>527</v>
      </c>
    </row>
    <row r="24" spans="8:8" x14ac:dyDescent="0.25">
      <c r="H24" s="3" t="s">
        <v>546</v>
      </c>
    </row>
    <row r="25" spans="8:8" x14ac:dyDescent="0.25">
      <c r="H25" s="3" t="s">
        <v>565</v>
      </c>
    </row>
    <row r="26" spans="8:8" x14ac:dyDescent="0.25">
      <c r="H26" s="3" t="s">
        <v>566</v>
      </c>
    </row>
    <row r="27" spans="8:8" x14ac:dyDescent="0.25">
      <c r="H27" s="5" t="s">
        <v>683</v>
      </c>
    </row>
    <row r="28" spans="8:8" x14ac:dyDescent="0.25">
      <c r="H28" s="5" t="s">
        <v>684</v>
      </c>
    </row>
    <row r="29" spans="8:8" x14ac:dyDescent="0.25">
      <c r="H29" s="5" t="s">
        <v>678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183" t="s">
        <v>568</v>
      </c>
      <c r="C2" s="186"/>
      <c r="D2" s="184"/>
      <c r="E2" s="1"/>
    </row>
    <row r="3" spans="1:10" x14ac:dyDescent="0.25">
      <c r="A3" s="6" t="s">
        <v>603</v>
      </c>
      <c r="B3" s="182" t="s">
        <v>688</v>
      </c>
      <c r="C3" s="187"/>
      <c r="D3" s="184" t="s">
        <v>679</v>
      </c>
      <c r="E3" s="1"/>
    </row>
    <row r="4" spans="1:10" x14ac:dyDescent="0.25">
      <c r="A4" s="6" t="s">
        <v>603</v>
      </c>
      <c r="B4" s="182" t="s">
        <v>570</v>
      </c>
      <c r="C4" s="187"/>
      <c r="D4" s="184" t="s">
        <v>533</v>
      </c>
      <c r="E4" s="1"/>
    </row>
    <row r="5" spans="1:10" x14ac:dyDescent="0.25">
      <c r="A5" s="6" t="s">
        <v>603</v>
      </c>
      <c r="B5" s="49" t="s">
        <v>689</v>
      </c>
      <c r="C5" s="188"/>
      <c r="D5" s="184"/>
      <c r="E5" s="1"/>
    </row>
    <row r="6" spans="1:10" ht="24" customHeight="1" x14ac:dyDescent="0.25">
      <c r="A6" s="6">
        <v>10</v>
      </c>
      <c r="B6" s="185" t="s">
        <v>547</v>
      </c>
      <c r="C6" s="185" t="s">
        <v>548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679</v>
      </c>
    </row>
    <row r="10" spans="1:10" ht="25.5" customHeight="1" x14ac:dyDescent="0.25">
      <c r="A10" s="6" t="s">
        <v>549</v>
      </c>
      <c r="B10" s="34"/>
      <c r="C10" s="34"/>
      <c r="D10" s="34"/>
      <c r="E10" s="1"/>
      <c r="J10" s="5" t="s">
        <v>693</v>
      </c>
    </row>
    <row r="11" spans="1:10" x14ac:dyDescent="0.25">
      <c r="J11"/>
    </row>
    <row r="15" spans="1:10" x14ac:dyDescent="0.25">
      <c r="G15" s="3" t="s">
        <v>533</v>
      </c>
    </row>
    <row r="16" spans="1:10" x14ac:dyDescent="0.25">
      <c r="G16" s="3" t="s">
        <v>540</v>
      </c>
    </row>
    <row r="17" spans="7:7" x14ac:dyDescent="0.25">
      <c r="G17" s="3" t="s">
        <v>555</v>
      </c>
    </row>
    <row r="18" spans="7:7" x14ac:dyDescent="0.25">
      <c r="G18" s="3" t="s">
        <v>529</v>
      </c>
    </row>
    <row r="19" spans="7:7" x14ac:dyDescent="0.25">
      <c r="G19" s="3" t="s">
        <v>553</v>
      </c>
    </row>
    <row r="21" spans="7:7" x14ac:dyDescent="0.25">
      <c r="G21" s="3" t="s">
        <v>552</v>
      </c>
    </row>
  </sheetData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183" t="s">
        <v>568</v>
      </c>
      <c r="C2" s="191"/>
      <c r="D2" s="184"/>
      <c r="E2" s="1"/>
    </row>
    <row r="3" spans="1:24" ht="29.25" customHeight="1" x14ac:dyDescent="0.25">
      <c r="A3" s="6" t="s">
        <v>603</v>
      </c>
      <c r="B3" s="182" t="s">
        <v>571</v>
      </c>
      <c r="C3" s="192"/>
      <c r="D3" s="189" t="s">
        <v>516</v>
      </c>
      <c r="E3" s="1"/>
    </row>
    <row r="4" spans="1:24" ht="15.75" customHeight="1" x14ac:dyDescent="0.25">
      <c r="A4" s="6" t="s">
        <v>603</v>
      </c>
      <c r="B4" s="182" t="s">
        <v>570</v>
      </c>
      <c r="C4" s="12"/>
      <c r="D4" s="190" t="s">
        <v>533</v>
      </c>
      <c r="E4" s="1"/>
    </row>
    <row r="5" spans="1:24" x14ac:dyDescent="0.25">
      <c r="A5" s="6" t="s">
        <v>603</v>
      </c>
      <c r="B5" s="49" t="s">
        <v>689</v>
      </c>
      <c r="C5" s="188"/>
      <c r="D5" s="184"/>
      <c r="E5" s="1"/>
    </row>
    <row r="6" spans="1:24" ht="24" customHeight="1" x14ac:dyDescent="0.25">
      <c r="A6" s="6">
        <v>10</v>
      </c>
      <c r="B6" s="185" t="s">
        <v>547</v>
      </c>
      <c r="C6" s="185" t="s">
        <v>548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549</v>
      </c>
      <c r="B10" s="34"/>
      <c r="C10" s="34"/>
      <c r="D10" s="34"/>
      <c r="E10" s="1"/>
      <c r="V10" s="3" t="s">
        <v>562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516</v>
      </c>
      <c r="H19" s="3" t="s">
        <v>533</v>
      </c>
      <c r="I19" s="3" t="s">
        <v>540</v>
      </c>
      <c r="J19" s="3" t="s">
        <v>541</v>
      </c>
      <c r="K19" s="3" t="s">
        <v>529</v>
      </c>
      <c r="L19" s="3" t="s">
        <v>555</v>
      </c>
      <c r="M19" s="3" t="s">
        <v>553</v>
      </c>
      <c r="N19" s="3" t="s">
        <v>527</v>
      </c>
      <c r="O19" s="3" t="s">
        <v>694</v>
      </c>
      <c r="P19" s="3" t="s">
        <v>528</v>
      </c>
      <c r="Q19" s="3" t="s">
        <v>531</v>
      </c>
      <c r="R19" s="3" t="s">
        <v>550</v>
      </c>
      <c r="S19" s="3" t="s">
        <v>551</v>
      </c>
      <c r="T19" s="3" t="s">
        <v>525</v>
      </c>
      <c r="U19" s="3" t="s">
        <v>530</v>
      </c>
      <c r="V19" s="3" t="s">
        <v>545</v>
      </c>
    </row>
    <row r="20" spans="7:22" x14ac:dyDescent="0.25">
      <c r="G20" s="23" t="s">
        <v>518</v>
      </c>
      <c r="H20" s="3" t="s">
        <v>529</v>
      </c>
      <c r="I20" s="3" t="s">
        <v>555</v>
      </c>
      <c r="J20" s="3" t="s">
        <v>543</v>
      </c>
      <c r="K20" s="3" t="s">
        <v>553</v>
      </c>
      <c r="L20" s="3" t="s">
        <v>533</v>
      </c>
      <c r="M20" s="3" t="s">
        <v>540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517</v>
      </c>
      <c r="H21" s="3" t="s">
        <v>529</v>
      </c>
      <c r="I21" s="3" t="s">
        <v>555</v>
      </c>
      <c r="J21" s="3" t="s">
        <v>551</v>
      </c>
      <c r="K21" s="3" t="s">
        <v>530</v>
      </c>
      <c r="L21" s="3" t="s">
        <v>528</v>
      </c>
      <c r="M21" s="3" t="s">
        <v>546</v>
      </c>
      <c r="N21" s="3" t="s">
        <v>564</v>
      </c>
      <c r="O21" s="3" t="s">
        <v>553</v>
      </c>
      <c r="P21" s="3" t="s">
        <v>533</v>
      </c>
      <c r="Q21" s="3" t="s">
        <v>540</v>
      </c>
      <c r="R21" s="5"/>
      <c r="S21" s="5"/>
      <c r="T21" s="5"/>
      <c r="U21" s="5"/>
      <c r="V21" s="5"/>
    </row>
    <row r="22" spans="7:22" x14ac:dyDescent="0.25">
      <c r="G22" s="23" t="s">
        <v>515</v>
      </c>
      <c r="H22" s="3" t="s">
        <v>529</v>
      </c>
      <c r="I22" s="3" t="s">
        <v>555</v>
      </c>
      <c r="J22" s="3" t="s">
        <v>551</v>
      </c>
      <c r="K22" s="3" t="s">
        <v>530</v>
      </c>
      <c r="L22" s="3" t="s">
        <v>528</v>
      </c>
      <c r="M22" s="3" t="s">
        <v>546</v>
      </c>
      <c r="N22" s="3" t="s">
        <v>564</v>
      </c>
      <c r="O22" s="3" t="s">
        <v>553</v>
      </c>
      <c r="P22" s="3" t="s">
        <v>533</v>
      </c>
      <c r="Q22" s="3" t="s">
        <v>540</v>
      </c>
      <c r="R22" s="5"/>
      <c r="S22" s="5"/>
      <c r="T22" s="5"/>
      <c r="U22" s="5"/>
      <c r="V22" s="5"/>
    </row>
    <row r="23" spans="7:22" x14ac:dyDescent="0.25">
      <c r="G23" s="23" t="s">
        <v>514</v>
      </c>
      <c r="H23" s="3" t="s">
        <v>529</v>
      </c>
      <c r="I23" s="3" t="s">
        <v>555</v>
      </c>
      <c r="J23" s="3" t="s">
        <v>528</v>
      </c>
      <c r="K23" s="3" t="s">
        <v>546</v>
      </c>
      <c r="L23" s="3" t="s">
        <v>564</v>
      </c>
      <c r="M23" s="3" t="s">
        <v>553</v>
      </c>
      <c r="N23" s="3" t="s">
        <v>533</v>
      </c>
      <c r="O23" s="3" t="s">
        <v>540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510</v>
      </c>
      <c r="H24" s="3" t="s">
        <v>529</v>
      </c>
      <c r="I24" s="3" t="s">
        <v>555</v>
      </c>
      <c r="J24" s="3" t="s">
        <v>528</v>
      </c>
      <c r="K24" s="3" t="s">
        <v>546</v>
      </c>
      <c r="L24" s="3" t="s">
        <v>564</v>
      </c>
      <c r="M24" s="3" t="s">
        <v>553</v>
      </c>
      <c r="N24" s="3" t="s">
        <v>533</v>
      </c>
      <c r="O24" s="3" t="s">
        <v>540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511</v>
      </c>
      <c r="H25" s="3" t="s">
        <v>529</v>
      </c>
      <c r="I25" s="3" t="s">
        <v>555</v>
      </c>
      <c r="J25" s="3" t="s">
        <v>528</v>
      </c>
      <c r="K25" s="3" t="s">
        <v>546</v>
      </c>
      <c r="L25" s="3" t="s">
        <v>564</v>
      </c>
      <c r="M25" s="3" t="s">
        <v>553</v>
      </c>
      <c r="N25" s="3" t="s">
        <v>533</v>
      </c>
      <c r="O25" s="3" t="s">
        <v>540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512</v>
      </c>
      <c r="H26" s="3" t="s">
        <v>529</v>
      </c>
      <c r="I26" s="3" t="s">
        <v>555</v>
      </c>
      <c r="J26" s="3" t="s">
        <v>528</v>
      </c>
      <c r="K26" s="3" t="s">
        <v>546</v>
      </c>
      <c r="L26" s="3" t="s">
        <v>564</v>
      </c>
      <c r="M26" s="3" t="s">
        <v>553</v>
      </c>
      <c r="N26" s="3" t="s">
        <v>533</v>
      </c>
      <c r="O26" s="3" t="s">
        <v>540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577</v>
      </c>
      <c r="H27" s="3" t="s">
        <v>529</v>
      </c>
      <c r="I27" s="3" t="s">
        <v>555</v>
      </c>
      <c r="J27" s="3" t="s">
        <v>528</v>
      </c>
      <c r="K27" s="3" t="s">
        <v>546</v>
      </c>
      <c r="L27" s="3" t="s">
        <v>564</v>
      </c>
      <c r="M27" s="3" t="s">
        <v>553</v>
      </c>
      <c r="N27" s="3" t="s">
        <v>533</v>
      </c>
      <c r="O27" s="3" t="s">
        <v>540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497</v>
      </c>
      <c r="H28" s="3" t="s">
        <v>529</v>
      </c>
      <c r="I28" s="3" t="s">
        <v>555</v>
      </c>
      <c r="J28" s="3" t="s">
        <v>543</v>
      </c>
      <c r="K28" s="3" t="s">
        <v>556</v>
      </c>
      <c r="L28" s="3" t="s">
        <v>580</v>
      </c>
      <c r="M28" s="3" t="s">
        <v>557</v>
      </c>
      <c r="N28" s="3" t="s">
        <v>553</v>
      </c>
      <c r="O28" s="3" t="s">
        <v>533</v>
      </c>
      <c r="P28" s="3" t="s">
        <v>540</v>
      </c>
      <c r="R28" s="5"/>
      <c r="S28" s="5"/>
      <c r="T28" s="5"/>
      <c r="U28" s="5"/>
      <c r="V28" s="5"/>
    </row>
    <row r="29" spans="7:22" x14ac:dyDescent="0.25">
      <c r="G29" s="23" t="s">
        <v>498</v>
      </c>
      <c r="H29" s="3" t="s">
        <v>529</v>
      </c>
      <c r="I29" s="3" t="s">
        <v>555</v>
      </c>
      <c r="J29" s="3" t="s">
        <v>543</v>
      </c>
      <c r="K29" s="3" t="s">
        <v>556</v>
      </c>
      <c r="L29" s="3" t="s">
        <v>580</v>
      </c>
      <c r="M29" s="3" t="s">
        <v>557</v>
      </c>
      <c r="N29" s="3" t="s">
        <v>553</v>
      </c>
      <c r="O29" s="3" t="s">
        <v>533</v>
      </c>
      <c r="P29" s="3" t="s">
        <v>540</v>
      </c>
      <c r="R29" s="5"/>
      <c r="S29" s="5"/>
      <c r="T29" s="5"/>
      <c r="U29" s="5"/>
      <c r="V29" s="5"/>
    </row>
    <row r="30" spans="7:22" x14ac:dyDescent="0.25">
      <c r="G30" s="23" t="s">
        <v>499</v>
      </c>
      <c r="H30" s="3" t="s">
        <v>529</v>
      </c>
      <c r="I30" s="3" t="s">
        <v>555</v>
      </c>
      <c r="J30" s="3" t="s">
        <v>543</v>
      </c>
      <c r="K30" s="3" t="s">
        <v>556</v>
      </c>
      <c r="L30" s="3" t="s">
        <v>580</v>
      </c>
      <c r="M30" s="3" t="s">
        <v>557</v>
      </c>
      <c r="N30" s="3" t="s">
        <v>553</v>
      </c>
      <c r="O30" s="3" t="s">
        <v>533</v>
      </c>
      <c r="P30" s="3" t="s">
        <v>540</v>
      </c>
      <c r="R30" s="5"/>
      <c r="S30" s="5"/>
      <c r="T30" s="5"/>
      <c r="U30" s="5"/>
      <c r="V30" s="5"/>
    </row>
    <row r="31" spans="7:22" x14ac:dyDescent="0.25">
      <c r="G31" s="23" t="s">
        <v>500</v>
      </c>
      <c r="H31" s="3" t="s">
        <v>529</v>
      </c>
      <c r="I31" s="3" t="s">
        <v>555</v>
      </c>
      <c r="J31" s="3" t="s">
        <v>528</v>
      </c>
      <c r="K31" s="3" t="s">
        <v>546</v>
      </c>
      <c r="L31" s="3" t="s">
        <v>564</v>
      </c>
      <c r="M31" s="3" t="s">
        <v>553</v>
      </c>
      <c r="N31" s="3" t="s">
        <v>533</v>
      </c>
      <c r="O31" s="3" t="s">
        <v>540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506</v>
      </c>
      <c r="H32" s="3" t="s">
        <v>529</v>
      </c>
      <c r="I32" s="3" t="s">
        <v>555</v>
      </c>
      <c r="J32" s="3" t="s">
        <v>556</v>
      </c>
      <c r="K32" s="3" t="s">
        <v>580</v>
      </c>
      <c r="L32" s="3" t="s">
        <v>557</v>
      </c>
      <c r="M32" s="3" t="s">
        <v>541</v>
      </c>
      <c r="N32" s="3" t="s">
        <v>553</v>
      </c>
      <c r="O32" s="3" t="s">
        <v>558</v>
      </c>
      <c r="P32" s="3" t="s">
        <v>533</v>
      </c>
      <c r="Q32" s="3" t="s">
        <v>540</v>
      </c>
      <c r="R32" s="5"/>
      <c r="S32" s="5"/>
      <c r="T32" s="5"/>
      <c r="U32" s="5"/>
      <c r="V32" s="5"/>
    </row>
    <row r="33" spans="7:22" x14ac:dyDescent="0.25">
      <c r="G33" s="23" t="s">
        <v>505</v>
      </c>
      <c r="H33" s="3" t="s">
        <v>529</v>
      </c>
      <c r="I33" s="3" t="s">
        <v>555</v>
      </c>
      <c r="J33" s="3" t="s">
        <v>541</v>
      </c>
      <c r="K33" s="3" t="s">
        <v>553</v>
      </c>
      <c r="L33" s="3" t="s">
        <v>533</v>
      </c>
      <c r="M33" s="3" t="s">
        <v>540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578</v>
      </c>
      <c r="H34" s="3" t="s">
        <v>529</v>
      </c>
      <c r="I34" s="3" t="s">
        <v>555</v>
      </c>
      <c r="J34" s="3" t="s">
        <v>542</v>
      </c>
      <c r="K34" s="3" t="s">
        <v>553</v>
      </c>
      <c r="L34" s="3" t="s">
        <v>533</v>
      </c>
      <c r="M34" s="3" t="s">
        <v>540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554</v>
      </c>
      <c r="H35" s="3" t="s">
        <v>529</v>
      </c>
      <c r="I35" s="3" t="s">
        <v>555</v>
      </c>
      <c r="J35" s="3" t="s">
        <v>542</v>
      </c>
      <c r="K35" s="3" t="s">
        <v>553</v>
      </c>
      <c r="L35" s="3" t="s">
        <v>533</v>
      </c>
      <c r="M35" s="3" t="s">
        <v>540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579</v>
      </c>
      <c r="H36" s="3" t="s">
        <v>529</v>
      </c>
      <c r="I36" s="3" t="s">
        <v>555</v>
      </c>
      <c r="J36" s="3" t="s">
        <v>542</v>
      </c>
      <c r="K36" s="3" t="s">
        <v>553</v>
      </c>
      <c r="L36" s="3" t="s">
        <v>533</v>
      </c>
      <c r="M36" s="3" t="s">
        <v>540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22"/>
  <sheetViews>
    <sheetView zoomScaleNormal="100" workbookViewId="0"/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04" t="s">
        <v>568</v>
      </c>
      <c r="C2" s="205"/>
      <c r="D2" s="42" t="s">
        <v>605</v>
      </c>
      <c r="E2" s="1"/>
    </row>
    <row r="3" spans="1:6" x14ac:dyDescent="0.25">
      <c r="A3" s="6" t="s">
        <v>603</v>
      </c>
      <c r="B3" s="202" t="s">
        <v>569</v>
      </c>
      <c r="C3" s="203"/>
      <c r="D3" s="42" t="s">
        <v>561</v>
      </c>
      <c r="E3" s="1"/>
    </row>
    <row r="4" spans="1:6" ht="15" customHeight="1" x14ac:dyDescent="0.25">
      <c r="A4" s="6" t="s">
        <v>603</v>
      </c>
      <c r="B4" s="49" t="s">
        <v>570</v>
      </c>
      <c r="C4" s="27"/>
      <c r="D4" s="42" t="s">
        <v>581</v>
      </c>
      <c r="E4" s="1"/>
    </row>
    <row r="5" spans="1:6" ht="20.45" customHeight="1" x14ac:dyDescent="0.25">
      <c r="A5" s="6"/>
      <c r="B5" s="177" t="s">
        <v>619</v>
      </c>
      <c r="C5" s="153"/>
      <c r="D5" s="176"/>
      <c r="E5" s="1"/>
    </row>
    <row r="6" spans="1:6" ht="48" customHeight="1" x14ac:dyDescent="0.25">
      <c r="A6" s="6">
        <v>22</v>
      </c>
      <c r="B6" s="4" t="s">
        <v>547</v>
      </c>
      <c r="C6" s="4" t="s">
        <v>548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19" si="0">INDEX(Dates,1,E7)</f>
        <v>43100</v>
      </c>
      <c r="C7" s="114">
        <f t="shared" ref="C7" si="1">B7</f>
        <v>43100</v>
      </c>
      <c r="D7" s="115">
        <f t="shared" ref="D7:D19" si="2">HLOOKUP(B7,ReadingTable,2,FALSE)</f>
        <v>0.5</v>
      </c>
      <c r="E7" s="116">
        <f>IF(E6="",7,E6+1)</f>
        <v>7</v>
      </c>
    </row>
    <row r="8" spans="1:6" x14ac:dyDescent="0.25">
      <c r="A8" s="113">
        <f t="shared" ref="A8:A19" si="3">IFERROR(IF(D8="",1,0),1)</f>
        <v>0</v>
      </c>
      <c r="B8" s="114">
        <f t="shared" si="0"/>
        <v>43131</v>
      </c>
      <c r="C8" s="114">
        <f t="shared" ref="C8:C19" si="4">B8</f>
        <v>43131</v>
      </c>
      <c r="D8" s="115">
        <f t="shared" si="2"/>
        <v>0.5</v>
      </c>
      <c r="E8" s="116">
        <f t="shared" ref="E8:E19" si="5">IF(E7="",7,E7+1)</f>
        <v>8</v>
      </c>
    </row>
    <row r="9" spans="1:6" x14ac:dyDescent="0.25">
      <c r="A9" s="113">
        <f t="shared" si="3"/>
        <v>0</v>
      </c>
      <c r="B9" s="114">
        <f t="shared" si="0"/>
        <v>43159</v>
      </c>
      <c r="C9" s="114">
        <f t="shared" si="4"/>
        <v>43159</v>
      </c>
      <c r="D9" s="115">
        <f t="shared" si="2"/>
        <v>0.5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43190</v>
      </c>
      <c r="C10" s="114">
        <f t="shared" si="4"/>
        <v>43190</v>
      </c>
      <c r="D10" s="115">
        <f t="shared" si="2"/>
        <v>0.19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43220</v>
      </c>
      <c r="C11" s="114">
        <f t="shared" si="4"/>
        <v>43220</v>
      </c>
      <c r="D11" s="115">
        <f t="shared" si="2"/>
        <v>0.33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43251</v>
      </c>
      <c r="C12" s="114">
        <f t="shared" si="4"/>
        <v>43251</v>
      </c>
      <c r="D12" s="115">
        <f t="shared" si="2"/>
        <v>0.25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43281</v>
      </c>
      <c r="C13" s="114">
        <f t="shared" si="4"/>
        <v>43281</v>
      </c>
      <c r="D13" s="115">
        <f t="shared" si="2"/>
        <v>0.25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43312</v>
      </c>
      <c r="C14" s="114">
        <f t="shared" si="4"/>
        <v>43312</v>
      </c>
      <c r="D14" s="115">
        <f t="shared" si="2"/>
        <v>0.11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43343</v>
      </c>
      <c r="C15" s="114">
        <f t="shared" si="4"/>
        <v>43343</v>
      </c>
      <c r="D15" s="115">
        <f t="shared" si="2"/>
        <v>0.99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43373</v>
      </c>
      <c r="C16" s="114">
        <f t="shared" si="4"/>
        <v>43373</v>
      </c>
      <c r="D16" s="115">
        <f t="shared" si="2"/>
        <v>0.73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43404</v>
      </c>
      <c r="C17" s="114">
        <f t="shared" si="4"/>
        <v>43404</v>
      </c>
      <c r="D17" s="115">
        <f t="shared" si="2"/>
        <v>0.44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43434</v>
      </c>
      <c r="C18" s="114">
        <f t="shared" si="4"/>
        <v>43434</v>
      </c>
      <c r="D18" s="115">
        <f t="shared" si="2"/>
        <v>0.19</v>
      </c>
      <c r="E18" s="116">
        <f t="shared" si="5"/>
        <v>18</v>
      </c>
    </row>
    <row r="19" spans="1:5" x14ac:dyDescent="0.25">
      <c r="A19" s="113">
        <f t="shared" si="3"/>
        <v>0</v>
      </c>
      <c r="B19" s="114">
        <f t="shared" si="0"/>
        <v>43465</v>
      </c>
      <c r="C19" s="114">
        <f t="shared" si="4"/>
        <v>43465</v>
      </c>
      <c r="D19" s="115">
        <f t="shared" si="2"/>
        <v>0.62</v>
      </c>
      <c r="E19" s="116">
        <f t="shared" si="5"/>
        <v>19</v>
      </c>
    </row>
    <row r="20" spans="1:5" x14ac:dyDescent="0.25">
      <c r="A20" s="6" t="s">
        <v>549</v>
      </c>
      <c r="B20" s="45"/>
      <c r="C20" s="45"/>
      <c r="D20" s="45"/>
      <c r="E20" s="45"/>
    </row>
    <row r="21" spans="1:5" x14ac:dyDescent="0.25">
      <c r="A21" s="6"/>
      <c r="B21" s="45"/>
      <c r="C21" s="45"/>
      <c r="D21" s="45"/>
      <c r="E21" s="45"/>
    </row>
    <row r="22" spans="1:5" ht="36.6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B3Zf20hWbxbNSekFdoySjRa0XDWWLfxXkDOIn/ZXeP6/KXPW+kBYTjAAwlPIhINhsKVFl7H3CVd4dACJYypfgQ==" saltValue="bKxMN0ELvycmRB/BnDEDv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400-000000000000}">
      <formula1>0</formula1>
      <formula2>99999</formula2>
    </dataValidation>
    <dataValidation type="date" allowBlank="1" showInputMessage="1" showErrorMessage="1" error="Please enter a valid date in mm/dd/yyyy format." sqref="B7:C19" xr:uid="{00000000-0002-0000-0400-000001000000}">
      <formula1>1</formula1>
      <formula2>73051</formula2>
    </dataValidation>
    <dataValidation type="decimal" allowBlank="1" showInputMessage="1" showErrorMessage="1" error="Please enter a valid reading." sqref="D7:D19" xr:uid="{00000000-0002-0000-04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21</xdr:row>
                    <xdr:rowOff>9525</xdr:rowOff>
                  </from>
                  <to>
                    <xdr:col>2</xdr:col>
                    <xdr:colOff>447675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21</xdr:row>
                    <xdr:rowOff>400050</xdr:rowOff>
                  </from>
                  <to>
                    <xdr:col>3</xdr:col>
                    <xdr:colOff>981075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S43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603</v>
      </c>
      <c r="B1" s="86" t="s">
        <v>617</v>
      </c>
    </row>
    <row r="2" spans="1:6" ht="33.75" customHeight="1" x14ac:dyDescent="0.25">
      <c r="A2" s="85" t="s">
        <v>603</v>
      </c>
      <c r="B2" s="88" t="s">
        <v>582</v>
      </c>
      <c r="C2" s="89" t="s">
        <v>583</v>
      </c>
      <c r="D2" s="90" t="s">
        <v>584</v>
      </c>
      <c r="E2" s="91" t="s">
        <v>585</v>
      </c>
      <c r="F2" s="92" t="s">
        <v>595</v>
      </c>
    </row>
    <row r="3" spans="1:6" x14ac:dyDescent="0.25">
      <c r="B3" s="122" t="s">
        <v>695</v>
      </c>
      <c r="C3" s="197">
        <v>43070</v>
      </c>
      <c r="D3" s="142">
        <v>43100</v>
      </c>
      <c r="E3" s="151">
        <v>0.375</v>
      </c>
      <c r="F3" s="143">
        <v>0.5</v>
      </c>
    </row>
    <row r="4" spans="1:6" x14ac:dyDescent="0.25">
      <c r="B4" s="122" t="s">
        <v>696</v>
      </c>
      <c r="C4" s="197">
        <v>43101</v>
      </c>
      <c r="D4" s="142">
        <v>43131</v>
      </c>
      <c r="E4" s="151">
        <v>0.41666666666666669</v>
      </c>
      <c r="F4" s="143">
        <v>0.5</v>
      </c>
    </row>
    <row r="5" spans="1:6" x14ac:dyDescent="0.25">
      <c r="A5" s="85">
        <v>0</v>
      </c>
      <c r="B5" s="122" t="s">
        <v>697</v>
      </c>
      <c r="C5" s="197">
        <v>43132</v>
      </c>
      <c r="D5" s="142">
        <v>43159</v>
      </c>
      <c r="E5" s="151">
        <v>0.45833333333333331</v>
      </c>
      <c r="F5" s="143">
        <v>0.5</v>
      </c>
    </row>
    <row r="6" spans="1:6" x14ac:dyDescent="0.25">
      <c r="A6" s="85">
        <v>0</v>
      </c>
      <c r="B6" s="122" t="s">
        <v>698</v>
      </c>
      <c r="C6" s="197">
        <v>43160</v>
      </c>
      <c r="D6" s="142">
        <v>43190</v>
      </c>
      <c r="E6" s="151">
        <v>0.10416666666666667</v>
      </c>
      <c r="F6" s="143">
        <v>0.19</v>
      </c>
    </row>
    <row r="7" spans="1:6" x14ac:dyDescent="0.25">
      <c r="A7" s="85">
        <v>0</v>
      </c>
      <c r="B7" s="122" t="s">
        <v>699</v>
      </c>
      <c r="C7" s="197">
        <v>43191</v>
      </c>
      <c r="D7" s="142">
        <v>43220</v>
      </c>
      <c r="E7" s="151">
        <v>0.14583333333333334</v>
      </c>
      <c r="F7" s="143">
        <v>0.33</v>
      </c>
    </row>
    <row r="8" spans="1:6" x14ac:dyDescent="0.25">
      <c r="A8" s="85">
        <v>0</v>
      </c>
      <c r="B8" s="122" t="s">
        <v>696</v>
      </c>
      <c r="C8" s="197">
        <v>43221</v>
      </c>
      <c r="D8" s="142">
        <v>43251</v>
      </c>
      <c r="E8" s="151">
        <v>8.3333333333333329E-2</v>
      </c>
      <c r="F8" s="143">
        <v>0.25</v>
      </c>
    </row>
    <row r="9" spans="1:6" x14ac:dyDescent="0.25">
      <c r="A9" s="85">
        <v>0</v>
      </c>
      <c r="B9" s="122" t="s">
        <v>697</v>
      </c>
      <c r="C9" s="197">
        <v>43252</v>
      </c>
      <c r="D9" s="142">
        <v>43281</v>
      </c>
      <c r="E9" s="151">
        <v>0.125</v>
      </c>
      <c r="F9" s="143">
        <v>0.25</v>
      </c>
    </row>
    <row r="10" spans="1:6" x14ac:dyDescent="0.25">
      <c r="A10" s="85">
        <v>0</v>
      </c>
      <c r="B10" s="122" t="s">
        <v>695</v>
      </c>
      <c r="C10" s="197">
        <v>43282</v>
      </c>
      <c r="D10" s="142">
        <v>43312</v>
      </c>
      <c r="E10" s="151">
        <v>0.33333333333333331</v>
      </c>
      <c r="F10" s="143">
        <v>0.11</v>
      </c>
    </row>
    <row r="11" spans="1:6" x14ac:dyDescent="0.25">
      <c r="B11" s="122" t="s">
        <v>702</v>
      </c>
      <c r="C11" s="197">
        <v>43313</v>
      </c>
      <c r="D11" s="142">
        <v>43343</v>
      </c>
      <c r="E11" s="151">
        <v>0.30555555555555552</v>
      </c>
      <c r="F11" s="143">
        <v>0.99</v>
      </c>
    </row>
    <row r="12" spans="1:6" x14ac:dyDescent="0.25">
      <c r="B12" s="122" t="s">
        <v>703</v>
      </c>
      <c r="C12" s="197">
        <v>43344</v>
      </c>
      <c r="D12" s="142">
        <v>43373</v>
      </c>
      <c r="E12" s="151">
        <v>0.26458333333333334</v>
      </c>
      <c r="F12" s="143">
        <v>0.73</v>
      </c>
    </row>
    <row r="13" spans="1:6" x14ac:dyDescent="0.25">
      <c r="B13" s="122" t="s">
        <v>704</v>
      </c>
      <c r="C13" s="197">
        <v>43374</v>
      </c>
      <c r="D13" s="142">
        <v>43404</v>
      </c>
      <c r="E13" s="151">
        <v>0.5083333333333333</v>
      </c>
      <c r="F13" s="143">
        <v>0.44</v>
      </c>
    </row>
    <row r="14" spans="1:6" x14ac:dyDescent="0.25">
      <c r="B14" s="122" t="s">
        <v>705</v>
      </c>
      <c r="C14" s="197">
        <v>43405</v>
      </c>
      <c r="D14" s="142">
        <v>43434</v>
      </c>
      <c r="E14" s="151">
        <v>5.486111111111111E-2</v>
      </c>
      <c r="F14" s="143">
        <v>0.19</v>
      </c>
    </row>
    <row r="15" spans="1:6" x14ac:dyDescent="0.25">
      <c r="B15" s="122" t="s">
        <v>706</v>
      </c>
      <c r="C15" s="197">
        <v>43435</v>
      </c>
      <c r="D15" s="142">
        <v>43465</v>
      </c>
      <c r="E15" s="151">
        <v>0.38194444444444442</v>
      </c>
      <c r="F15" s="143">
        <v>0.62</v>
      </c>
    </row>
    <row r="16" spans="1:6" ht="39" customHeight="1" x14ac:dyDescent="0.25"/>
    <row r="17" spans="1:19" s="93" customFormat="1" ht="51" customHeight="1" x14ac:dyDescent="0.2">
      <c r="A17" s="85" t="s">
        <v>593</v>
      </c>
      <c r="B17" s="86" t="s">
        <v>587</v>
      </c>
      <c r="F17" s="94"/>
      <c r="G17" s="95">
        <f t="shared" ref="G17" si="0">IF(G19="",1,0)</f>
        <v>0</v>
      </c>
      <c r="H17" s="95">
        <f t="shared" ref="H17:S17" si="1">IF(H19="",1,0)</f>
        <v>0</v>
      </c>
      <c r="I17" s="95">
        <f t="shared" si="1"/>
        <v>0</v>
      </c>
      <c r="J17" s="95">
        <f t="shared" si="1"/>
        <v>0</v>
      </c>
      <c r="K17" s="95">
        <f t="shared" si="1"/>
        <v>0</v>
      </c>
      <c r="L17" s="95">
        <f t="shared" si="1"/>
        <v>0</v>
      </c>
      <c r="M17" s="95">
        <f t="shared" si="1"/>
        <v>0</v>
      </c>
      <c r="N17" s="95">
        <f t="shared" si="1"/>
        <v>0</v>
      </c>
      <c r="O17" s="95">
        <f t="shared" si="1"/>
        <v>0</v>
      </c>
      <c r="P17" s="95">
        <f t="shared" si="1"/>
        <v>0</v>
      </c>
      <c r="Q17" s="95">
        <f t="shared" si="1"/>
        <v>0</v>
      </c>
      <c r="R17" s="95">
        <f t="shared" si="1"/>
        <v>0</v>
      </c>
      <c r="S17" s="95">
        <f t="shared" si="1"/>
        <v>0</v>
      </c>
    </row>
    <row r="18" spans="1:19" ht="21" customHeight="1" x14ac:dyDescent="0.25">
      <c r="A18" s="85" t="s">
        <v>603</v>
      </c>
      <c r="B18" s="206" t="s">
        <v>582</v>
      </c>
      <c r="C18" s="96"/>
      <c r="D18" s="96"/>
      <c r="E18" s="96"/>
      <c r="F18" s="97"/>
      <c r="G18" s="98" t="s">
        <v>584</v>
      </c>
      <c r="H18" s="98" t="s">
        <v>584</v>
      </c>
      <c r="I18" s="98" t="s">
        <v>584</v>
      </c>
      <c r="J18" s="98" t="s">
        <v>584</v>
      </c>
      <c r="K18" s="98" t="s">
        <v>584</v>
      </c>
      <c r="L18" s="98" t="s">
        <v>584</v>
      </c>
      <c r="M18" s="98" t="s">
        <v>584</v>
      </c>
      <c r="N18" s="98" t="s">
        <v>584</v>
      </c>
      <c r="O18" s="98" t="s">
        <v>584</v>
      </c>
      <c r="P18" s="98" t="s">
        <v>584</v>
      </c>
      <c r="Q18" s="98" t="s">
        <v>584</v>
      </c>
      <c r="R18" s="98" t="s">
        <v>584</v>
      </c>
      <c r="S18" s="98" t="s">
        <v>584</v>
      </c>
    </row>
    <row r="19" spans="1:19" ht="15" customHeight="1" x14ac:dyDescent="0.25">
      <c r="A19" s="85" t="s">
        <v>603</v>
      </c>
      <c r="B19" s="207"/>
      <c r="C19" s="99"/>
      <c r="D19" s="99"/>
      <c r="E19" s="99"/>
      <c r="F19" s="100"/>
      <c r="G19" s="180">
        <f t="array" ref="G19">IFERROR(INDEX($D$3:$D$16, MATCH(0,IF(ISBLANK($D$3:$D$16),1,COUNTIF($F19:F19, $D$3:$D$16)), 0)),"")</f>
        <v>43100</v>
      </c>
      <c r="H19" s="180">
        <f t="array" ref="H19">IFERROR(INDEX($D$3:$D$16, MATCH(0,IF(ISBLANK($D$3:$D$16),1,COUNTIF($F19:G19, $D$3:$D$16)), 0)),"")</f>
        <v>43131</v>
      </c>
      <c r="I19" s="180">
        <f t="array" ref="I19">IFERROR(INDEX($D$3:$D$16, MATCH(0,IF(ISBLANK($D$3:$D$16),1,COUNTIF($F19:H19, $D$3:$D$16)), 0)),"")</f>
        <v>43159</v>
      </c>
      <c r="J19" s="180">
        <f t="array" ref="J19">IFERROR(INDEX($D$3:$D$16, MATCH(0,IF(ISBLANK($D$3:$D$16),1,COUNTIF($F19:I19, $D$3:$D$16)), 0)),"")</f>
        <v>43190</v>
      </c>
      <c r="K19" s="180">
        <f t="array" ref="K19">IFERROR(INDEX($D$3:$D$16, MATCH(0,IF(ISBLANK($D$3:$D$16),1,COUNTIF($F19:J19, $D$3:$D$16)), 0)),"")</f>
        <v>43220</v>
      </c>
      <c r="L19" s="180">
        <f t="array" ref="L19">IFERROR(INDEX($D$3:$D$16, MATCH(0,IF(ISBLANK($D$3:$D$16),1,COUNTIF($F19:K19, $D$3:$D$16)), 0)),"")</f>
        <v>43251</v>
      </c>
      <c r="M19" s="180">
        <f t="array" ref="M19">IFERROR(INDEX($D$3:$D$16, MATCH(0,IF(ISBLANK($D$3:$D$16),1,COUNTIF($F19:L19, $D$3:$D$16)), 0)),"")</f>
        <v>43281</v>
      </c>
      <c r="N19" s="180">
        <f t="array" ref="N19">IFERROR(INDEX($D$3:$D$16, MATCH(0,IF(ISBLANK($D$3:$D$16),1,COUNTIF($F19:M19, $D$3:$D$16)), 0)),"")</f>
        <v>43312</v>
      </c>
      <c r="O19" s="180">
        <f t="array" ref="O19">IFERROR(INDEX($D$3:$D$16, MATCH(0,IF(ISBLANK($D$3:$D$16),1,COUNTIF($F19:N19, $D$3:$D$16)), 0)),"")</f>
        <v>43343</v>
      </c>
      <c r="P19" s="180">
        <f t="array" ref="P19">IFERROR(INDEX($D$3:$D$16, MATCH(0,IF(ISBLANK($D$3:$D$16),1,COUNTIF($F19:O19, $D$3:$D$16)), 0)),"")</f>
        <v>43373</v>
      </c>
      <c r="Q19" s="180">
        <f t="array" ref="Q19">IFERROR(INDEX($D$3:$D$16, MATCH(0,IF(ISBLANK($D$3:$D$16),1,COUNTIF($F19:P19, $D$3:$D$16)), 0)),"")</f>
        <v>43404</v>
      </c>
      <c r="R19" s="180">
        <f t="array" ref="R19">IFERROR(INDEX($D$3:$D$16, MATCH(0,IF(ISBLANK($D$3:$D$16),1,COUNTIF($F19:Q19, $D$3:$D$16)), 0)),"")</f>
        <v>43434</v>
      </c>
      <c r="S19" s="180">
        <f t="array" ref="S19">IFERROR(INDEX($D$3:$D$16, MATCH(0,IF(ISBLANK($D$3:$D$16),1,COUNTIF($F19:R19, $D$3:$D$16)), 0)),"")</f>
        <v>43465</v>
      </c>
    </row>
    <row r="20" spans="1:19" ht="27.75" customHeight="1" x14ac:dyDescent="0.25">
      <c r="A20" s="85" t="s">
        <v>603</v>
      </c>
      <c r="B20" s="208"/>
      <c r="C20" s="101"/>
      <c r="D20" s="101"/>
      <c r="E20" s="101"/>
      <c r="F20" s="102"/>
      <c r="G20" s="103" t="s">
        <v>594</v>
      </c>
      <c r="H20" s="103" t="s">
        <v>594</v>
      </c>
      <c r="I20" s="103" t="s">
        <v>594</v>
      </c>
      <c r="J20" s="103" t="s">
        <v>594</v>
      </c>
      <c r="K20" s="103" t="s">
        <v>594</v>
      </c>
      <c r="L20" s="103" t="s">
        <v>594</v>
      </c>
      <c r="M20" s="103" t="s">
        <v>594</v>
      </c>
      <c r="N20" s="103" t="s">
        <v>594</v>
      </c>
      <c r="O20" s="103" t="s">
        <v>594</v>
      </c>
      <c r="P20" s="103" t="s">
        <v>594</v>
      </c>
      <c r="Q20" s="103" t="s">
        <v>594</v>
      </c>
      <c r="R20" s="103" t="s">
        <v>594</v>
      </c>
      <c r="S20" s="103" t="s">
        <v>594</v>
      </c>
    </row>
    <row r="21" spans="1:19" ht="15" customHeight="1" x14ac:dyDescent="0.25">
      <c r="A21" s="85">
        <f>IF(B21="",1,0)</f>
        <v>0</v>
      </c>
      <c r="B21" s="104" t="str">
        <f t="array" ref="B21">IFERROR(INDEX($B$3:$B$16, MATCH(0,IF(ISBLANK($B$3:$B$16),1,COUNTIF($B$20:B20, $B$3:$B$16)), 0)),"")</f>
        <v>Goa</v>
      </c>
      <c r="C21" s="105"/>
      <c r="D21" s="105"/>
      <c r="E21" s="105"/>
      <c r="F21" s="106"/>
      <c r="G21" s="144">
        <f t="array" ref="G21">IFERROR(PERCENTILE(IF($B$3:$B$16=$B21,IF($D$3:$D$16=G$19,IF($F$3:$F$16&lt;&gt;"",$F$3:$F$16))),0.95),"")</f>
        <v>0.5</v>
      </c>
      <c r="H21" s="144" t="str">
        <f t="array" ref="H21">IFERROR(PERCENTILE(IF($B$3:$B$16=$B21,IF($D$3:$D$16=H$19,IF($F$3:$F$16&lt;&gt;"",$F$3:$F$16))),0.95),"")</f>
        <v/>
      </c>
      <c r="I21" s="144" t="str">
        <f t="array" ref="I21">IFERROR(PERCENTILE(IF($B$3:$B$16=$B21,IF($D$3:$D$16=I$19,IF($F$3:$F$16&lt;&gt;"",$F$3:$F$16))),0.95),"")</f>
        <v/>
      </c>
      <c r="J21" s="144" t="str">
        <f t="array" ref="J21">IFERROR(PERCENTILE(IF($B$3:$B$16=$B21,IF($D$3:$D$16=J$19,IF($F$3:$F$16&lt;&gt;"",$F$3:$F$16))),0.95),"")</f>
        <v/>
      </c>
      <c r="K21" s="144" t="str">
        <f t="array" ref="K21">IFERROR(PERCENTILE(IF($B$3:$B$16=$B21,IF($D$3:$D$16=K$19,IF($F$3:$F$16&lt;&gt;"",$F$3:$F$16))),0.95),"")</f>
        <v/>
      </c>
      <c r="L21" s="144" t="str">
        <f t="array" ref="L21">IFERROR(PERCENTILE(IF($B$3:$B$16=$B21,IF($D$3:$D$16=L$19,IF($F$3:$F$16&lt;&gt;"",$F$3:$F$16))),0.95),"")</f>
        <v/>
      </c>
      <c r="M21" s="144" t="str">
        <f t="array" ref="M21">IFERROR(PERCENTILE(IF($B$3:$B$16=$B21,IF($D$3:$D$16=M$19,IF($F$3:$F$16&lt;&gt;"",$F$3:$F$16))),0.95),"")</f>
        <v/>
      </c>
      <c r="N21" s="144">
        <f t="array" ref="N21">IFERROR(PERCENTILE(IF($B$3:$B$16=$B21,IF($D$3:$D$16=N$19,IF($F$3:$F$16&lt;&gt;"",$F$3:$F$16))),0.95),"")</f>
        <v>0.11</v>
      </c>
      <c r="O21" s="144" t="str">
        <f t="array" ref="O21">IFERROR(PERCENTILE(IF($B$3:$B$16=$B21,IF($D$3:$D$16=O$19,IF($F$3:$F$16&lt;&gt;"",$F$3:$F$16))),0.95),"")</f>
        <v/>
      </c>
      <c r="P21" s="144" t="str">
        <f t="array" ref="P21">IFERROR(PERCENTILE(IF($B$3:$B$16=$B21,IF($D$3:$D$16=P$19,IF($F$3:$F$16&lt;&gt;"",$F$3:$F$16))),0.95),"")</f>
        <v/>
      </c>
      <c r="Q21" s="144" t="str">
        <f t="array" ref="Q21">IFERROR(PERCENTILE(IF($B$3:$B$16=$B21,IF($D$3:$D$16=Q$19,IF($F$3:$F$16&lt;&gt;"",$F$3:$F$16))),0.95),"")</f>
        <v/>
      </c>
      <c r="R21" s="144" t="str">
        <f t="array" ref="R21">IFERROR(PERCENTILE(IF($B$3:$B$16=$B21,IF($D$3:$D$16=R$19,IF($F$3:$F$16&lt;&gt;"",$F$3:$F$16))),0.95),"")</f>
        <v/>
      </c>
      <c r="S21" s="144" t="str">
        <f t="array" ref="S21">IFERROR(PERCENTILE(IF($B$3:$B$16=$B21,IF($D$3:$D$16=S$19,IF($F$3:$F$16&lt;&gt;"",$F$3:$F$16))),0.95),"")</f>
        <v/>
      </c>
    </row>
    <row r="22" spans="1:19" ht="15" customHeight="1" x14ac:dyDescent="0.25">
      <c r="A22" s="85">
        <f t="shared" ref="A22" si="2">IF(B22="",1,0)</f>
        <v>0</v>
      </c>
      <c r="B22" s="104" t="str">
        <f t="array" ref="B22">IFERROR(INDEX($B$3:$B$16, MATCH(0,IF(ISBLANK($B$3:$B$16),1,COUNTIF($B$20:B21, $B$3:$B$16)), 0)),"")</f>
        <v>Hyd</v>
      </c>
      <c r="C22" s="105"/>
      <c r="D22" s="105"/>
      <c r="E22" s="105"/>
      <c r="F22" s="106"/>
      <c r="G22" s="144" t="str">
        <f t="array" ref="G22">IFERROR(PERCENTILE(IF($B$3:$B$16=$B22,IF($D$3:$D$16=G$19,IF($F$3:$F$16&lt;&gt;"",$F$3:$F$16))),0.95),"")</f>
        <v/>
      </c>
      <c r="H22" s="144">
        <f t="array" ref="H22">IFERROR(PERCENTILE(IF($B$3:$B$16=$B22,IF($D$3:$D$16=H$19,IF($F$3:$F$16&lt;&gt;"",$F$3:$F$16))),0.95),"")</f>
        <v>0.5</v>
      </c>
      <c r="I22" s="144" t="str">
        <f t="array" ref="I22">IFERROR(PERCENTILE(IF($B$3:$B$16=$B22,IF($D$3:$D$16=I$19,IF($F$3:$F$16&lt;&gt;"",$F$3:$F$16))),0.95),"")</f>
        <v/>
      </c>
      <c r="J22" s="144" t="str">
        <f t="array" ref="J22">IFERROR(PERCENTILE(IF($B$3:$B$16=$B22,IF($D$3:$D$16=J$19,IF($F$3:$F$16&lt;&gt;"",$F$3:$F$16))),0.95),"")</f>
        <v/>
      </c>
      <c r="K22" s="144" t="str">
        <f t="array" ref="K22">IFERROR(PERCENTILE(IF($B$3:$B$16=$B22,IF($D$3:$D$16=K$19,IF($F$3:$F$16&lt;&gt;"",$F$3:$F$16))),0.95),"")</f>
        <v/>
      </c>
      <c r="L22" s="144">
        <f t="array" ref="L22">IFERROR(PERCENTILE(IF($B$3:$B$16=$B22,IF($D$3:$D$16=L$19,IF($F$3:$F$16&lt;&gt;"",$F$3:$F$16))),0.95),"")</f>
        <v>0.25</v>
      </c>
      <c r="M22" s="144" t="str">
        <f t="array" ref="M22">IFERROR(PERCENTILE(IF($B$3:$B$16=$B22,IF($D$3:$D$16=M$19,IF($F$3:$F$16&lt;&gt;"",$F$3:$F$16))),0.95),"")</f>
        <v/>
      </c>
      <c r="N22" s="144" t="str">
        <f t="array" ref="N22">IFERROR(PERCENTILE(IF($B$3:$B$16=$B22,IF($D$3:$D$16=N$19,IF($F$3:$F$16&lt;&gt;"",$F$3:$F$16))),0.95),"")</f>
        <v/>
      </c>
      <c r="O22" s="144" t="str">
        <f t="array" ref="O22">IFERROR(PERCENTILE(IF($B$3:$B$16=$B22,IF($D$3:$D$16=O$19,IF($F$3:$F$16&lt;&gt;"",$F$3:$F$16))),0.95),"")</f>
        <v/>
      </c>
      <c r="P22" s="144" t="str">
        <f t="array" ref="P22">IFERROR(PERCENTILE(IF($B$3:$B$16=$B22,IF($D$3:$D$16=P$19,IF($F$3:$F$16&lt;&gt;"",$F$3:$F$16))),0.95),"")</f>
        <v/>
      </c>
      <c r="Q22" s="144" t="str">
        <f t="array" ref="Q22">IFERROR(PERCENTILE(IF($B$3:$B$16=$B22,IF($D$3:$D$16=Q$19,IF($F$3:$F$16&lt;&gt;"",$F$3:$F$16))),0.95),"")</f>
        <v/>
      </c>
      <c r="R22" s="144" t="str">
        <f t="array" ref="R22">IFERROR(PERCENTILE(IF($B$3:$B$16=$B22,IF($D$3:$D$16=R$19,IF($F$3:$F$16&lt;&gt;"",$F$3:$F$16))),0.95),"")</f>
        <v/>
      </c>
      <c r="S22" s="144" t="str">
        <f t="array" ref="S22">IFERROR(PERCENTILE(IF($B$3:$B$16=$B22,IF($D$3:$D$16=S$19,IF($F$3:$F$16&lt;&gt;"",$F$3:$F$16))),0.95),"")</f>
        <v/>
      </c>
    </row>
    <row r="23" spans="1:19" ht="15" customHeight="1" x14ac:dyDescent="0.25">
      <c r="A23" s="85">
        <f t="shared" ref="A23:A25" si="3">IF(B23="",1,0)</f>
        <v>0</v>
      </c>
      <c r="B23" s="104" t="str">
        <f t="array" ref="B23">IFERROR(INDEX($B$3:$B$16, MATCH(0,IF(ISBLANK($B$3:$B$16),1,COUNTIF($B$20:B22, $B$3:$B$16)), 0)),"")</f>
        <v>Delhi</v>
      </c>
      <c r="C23" s="105"/>
      <c r="D23" s="105"/>
      <c r="E23" s="105"/>
      <c r="F23" s="106"/>
      <c r="G23" s="144" t="str">
        <f t="array" ref="G23">IFERROR(PERCENTILE(IF($B$3:$B$16=$B23,IF($D$3:$D$16=G$19,IF($F$3:$F$16&lt;&gt;"",$F$3:$F$16))),0.95),"")</f>
        <v/>
      </c>
      <c r="H23" s="144" t="str">
        <f t="array" ref="H23">IFERROR(PERCENTILE(IF($B$3:$B$16=$B23,IF($D$3:$D$16=H$19,IF($F$3:$F$16&lt;&gt;"",$F$3:$F$16))),0.95),"")</f>
        <v/>
      </c>
      <c r="I23" s="144">
        <f t="array" ref="I23">IFERROR(PERCENTILE(IF($B$3:$B$16=$B23,IF($D$3:$D$16=I$19,IF($F$3:$F$16&lt;&gt;"",$F$3:$F$16))),0.95),"")</f>
        <v>0.5</v>
      </c>
      <c r="J23" s="144" t="str">
        <f t="array" ref="J23">IFERROR(PERCENTILE(IF($B$3:$B$16=$B23,IF($D$3:$D$16=J$19,IF($F$3:$F$16&lt;&gt;"",$F$3:$F$16))),0.95),"")</f>
        <v/>
      </c>
      <c r="K23" s="144" t="str">
        <f t="array" ref="K23">IFERROR(PERCENTILE(IF($B$3:$B$16=$B23,IF($D$3:$D$16=K$19,IF($F$3:$F$16&lt;&gt;"",$F$3:$F$16))),0.95),"")</f>
        <v/>
      </c>
      <c r="L23" s="144" t="str">
        <f t="array" ref="L23">IFERROR(PERCENTILE(IF($B$3:$B$16=$B23,IF($D$3:$D$16=L$19,IF($F$3:$F$16&lt;&gt;"",$F$3:$F$16))),0.95),"")</f>
        <v/>
      </c>
      <c r="M23" s="144">
        <f t="array" ref="M23">IFERROR(PERCENTILE(IF($B$3:$B$16=$B23,IF($D$3:$D$16=M$19,IF($F$3:$F$16&lt;&gt;"",$F$3:$F$16))),0.95),"")</f>
        <v>0.25</v>
      </c>
      <c r="N23" s="144" t="str">
        <f t="array" ref="N23">IFERROR(PERCENTILE(IF($B$3:$B$16=$B23,IF($D$3:$D$16=N$19,IF($F$3:$F$16&lt;&gt;"",$F$3:$F$16))),0.95),"")</f>
        <v/>
      </c>
      <c r="O23" s="144" t="str">
        <f t="array" ref="O23">IFERROR(PERCENTILE(IF($B$3:$B$16=$B23,IF($D$3:$D$16=O$19,IF($F$3:$F$16&lt;&gt;"",$F$3:$F$16))),0.95),"")</f>
        <v/>
      </c>
      <c r="P23" s="144" t="str">
        <f t="array" ref="P23">IFERROR(PERCENTILE(IF($B$3:$B$16=$B23,IF($D$3:$D$16=P$19,IF($F$3:$F$16&lt;&gt;"",$F$3:$F$16))),0.95),"")</f>
        <v/>
      </c>
      <c r="Q23" s="144" t="str">
        <f t="array" ref="Q23">IFERROR(PERCENTILE(IF($B$3:$B$16=$B23,IF($D$3:$D$16=Q$19,IF($F$3:$F$16&lt;&gt;"",$F$3:$F$16))),0.95),"")</f>
        <v/>
      </c>
      <c r="R23" s="144" t="str">
        <f t="array" ref="R23">IFERROR(PERCENTILE(IF($B$3:$B$16=$B23,IF($D$3:$D$16=R$19,IF($F$3:$F$16&lt;&gt;"",$F$3:$F$16))),0.95),"")</f>
        <v/>
      </c>
      <c r="S23" s="144" t="str">
        <f t="array" ref="S23">IFERROR(PERCENTILE(IF($B$3:$B$16=$B23,IF($D$3:$D$16=S$19,IF($F$3:$F$16&lt;&gt;"",$F$3:$F$16))),0.95),"")</f>
        <v/>
      </c>
    </row>
    <row r="24" spans="1:19" ht="15" customHeight="1" x14ac:dyDescent="0.25">
      <c r="A24" s="85">
        <f t="shared" si="3"/>
        <v>0</v>
      </c>
      <c r="B24" s="104" t="str">
        <f t="array" ref="B24">IFERROR(INDEX($B$3:$B$16, MATCH(0,IF(ISBLANK($B$3:$B$16),1,COUNTIF($B$20:B23, $B$3:$B$16)), 0)),"")</f>
        <v>Banglore</v>
      </c>
      <c r="C24" s="105"/>
      <c r="D24" s="105"/>
      <c r="E24" s="105"/>
      <c r="F24" s="106"/>
      <c r="G24" s="144" t="str">
        <f t="array" ref="G24">IFERROR(PERCENTILE(IF($B$3:$B$16=$B24,IF($D$3:$D$16=G$19,IF($F$3:$F$16&lt;&gt;"",$F$3:$F$16))),0.95),"")</f>
        <v/>
      </c>
      <c r="H24" s="144" t="str">
        <f t="array" ref="H24">IFERROR(PERCENTILE(IF($B$3:$B$16=$B24,IF($D$3:$D$16=H$19,IF($F$3:$F$16&lt;&gt;"",$F$3:$F$16))),0.95),"")</f>
        <v/>
      </c>
      <c r="I24" s="144" t="str">
        <f t="array" ref="I24">IFERROR(PERCENTILE(IF($B$3:$B$16=$B24,IF($D$3:$D$16=I$19,IF($F$3:$F$16&lt;&gt;"",$F$3:$F$16))),0.95),"")</f>
        <v/>
      </c>
      <c r="J24" s="144">
        <f t="array" ref="J24">IFERROR(PERCENTILE(IF($B$3:$B$16=$B24,IF($D$3:$D$16=J$19,IF($F$3:$F$16&lt;&gt;"",$F$3:$F$16))),0.95),"")</f>
        <v>0.19</v>
      </c>
      <c r="K24" s="144" t="str">
        <f t="array" ref="K24">IFERROR(PERCENTILE(IF($B$3:$B$16=$B24,IF($D$3:$D$16=K$19,IF($F$3:$F$16&lt;&gt;"",$F$3:$F$16))),0.95),"")</f>
        <v/>
      </c>
      <c r="L24" s="144" t="str">
        <f t="array" ref="L24">IFERROR(PERCENTILE(IF($B$3:$B$16=$B24,IF($D$3:$D$16=L$19,IF($F$3:$F$16&lt;&gt;"",$F$3:$F$16))),0.95),"")</f>
        <v/>
      </c>
      <c r="M24" s="144" t="str">
        <f t="array" ref="M24">IFERROR(PERCENTILE(IF($B$3:$B$16=$B24,IF($D$3:$D$16=M$19,IF($F$3:$F$16&lt;&gt;"",$F$3:$F$16))),0.95),"")</f>
        <v/>
      </c>
      <c r="N24" s="144" t="str">
        <f t="array" ref="N24">IFERROR(PERCENTILE(IF($B$3:$B$16=$B24,IF($D$3:$D$16=N$19,IF($F$3:$F$16&lt;&gt;"",$F$3:$F$16))),0.95),"")</f>
        <v/>
      </c>
      <c r="O24" s="144" t="str">
        <f t="array" ref="O24">IFERROR(PERCENTILE(IF($B$3:$B$16=$B24,IF($D$3:$D$16=O$19,IF($F$3:$F$16&lt;&gt;"",$F$3:$F$16))),0.95),"")</f>
        <v/>
      </c>
      <c r="P24" s="144" t="str">
        <f t="array" ref="P24">IFERROR(PERCENTILE(IF($B$3:$B$16=$B24,IF($D$3:$D$16=P$19,IF($F$3:$F$16&lt;&gt;"",$F$3:$F$16))),0.95),"")</f>
        <v/>
      </c>
      <c r="Q24" s="144" t="str">
        <f t="array" ref="Q24">IFERROR(PERCENTILE(IF($B$3:$B$16=$B24,IF($D$3:$D$16=Q$19,IF($F$3:$F$16&lt;&gt;"",$F$3:$F$16))),0.95),"")</f>
        <v/>
      </c>
      <c r="R24" s="144" t="str">
        <f t="array" ref="R24">IFERROR(PERCENTILE(IF($B$3:$B$16=$B24,IF($D$3:$D$16=R$19,IF($F$3:$F$16&lt;&gt;"",$F$3:$F$16))),0.95),"")</f>
        <v/>
      </c>
      <c r="S24" s="144" t="str">
        <f t="array" ref="S24">IFERROR(PERCENTILE(IF($B$3:$B$16=$B24,IF($D$3:$D$16=S$19,IF($F$3:$F$16&lt;&gt;"",$F$3:$F$16))),0.95),"")</f>
        <v/>
      </c>
    </row>
    <row r="25" spans="1:19" ht="15" customHeight="1" x14ac:dyDescent="0.25">
      <c r="A25" s="85">
        <f t="shared" si="3"/>
        <v>0</v>
      </c>
      <c r="B25" s="104" t="str">
        <f t="array" ref="B25">IFERROR(INDEX($B$3:$B$16, MATCH(0,IF(ISBLANK($B$3:$B$16),1,COUNTIF($B$20:B24, $B$3:$B$16)), 0)),"")</f>
        <v>Chennai</v>
      </c>
      <c r="C25" s="105"/>
      <c r="D25" s="105"/>
      <c r="E25" s="105"/>
      <c r="F25" s="106"/>
      <c r="G25" s="144" t="str">
        <f t="array" ref="G25">IFERROR(PERCENTILE(IF($B$3:$B$16=$B25,IF($D$3:$D$16=G$19,IF($F$3:$F$16&lt;&gt;"",$F$3:$F$16))),0.95),"")</f>
        <v/>
      </c>
      <c r="H25" s="144" t="str">
        <f t="array" ref="H25">IFERROR(PERCENTILE(IF($B$3:$B$16=$B25,IF($D$3:$D$16=H$19,IF($F$3:$F$16&lt;&gt;"",$F$3:$F$16))),0.95),"")</f>
        <v/>
      </c>
      <c r="I25" s="144" t="str">
        <f t="array" ref="I25">IFERROR(PERCENTILE(IF($B$3:$B$16=$B25,IF($D$3:$D$16=I$19,IF($F$3:$F$16&lt;&gt;"",$F$3:$F$16))),0.95),"")</f>
        <v/>
      </c>
      <c r="J25" s="144" t="str">
        <f t="array" ref="J25">IFERROR(PERCENTILE(IF($B$3:$B$16=$B25,IF($D$3:$D$16=J$19,IF($F$3:$F$16&lt;&gt;"",$F$3:$F$16))),0.95),"")</f>
        <v/>
      </c>
      <c r="K25" s="144">
        <f t="array" ref="K25">IFERROR(PERCENTILE(IF($B$3:$B$16=$B25,IF($D$3:$D$16=K$19,IF($F$3:$F$16&lt;&gt;"",$F$3:$F$16))),0.95),"")</f>
        <v>0.33</v>
      </c>
      <c r="L25" s="144" t="str">
        <f t="array" ref="L25">IFERROR(PERCENTILE(IF($B$3:$B$16=$B25,IF($D$3:$D$16=L$19,IF($F$3:$F$16&lt;&gt;"",$F$3:$F$16))),0.95),"")</f>
        <v/>
      </c>
      <c r="M25" s="144" t="str">
        <f t="array" ref="M25">IFERROR(PERCENTILE(IF($B$3:$B$16=$B25,IF($D$3:$D$16=M$19,IF($F$3:$F$16&lt;&gt;"",$F$3:$F$16))),0.95),"")</f>
        <v/>
      </c>
      <c r="N25" s="144" t="str">
        <f t="array" ref="N25">IFERROR(PERCENTILE(IF($B$3:$B$16=$B25,IF($D$3:$D$16=N$19,IF($F$3:$F$16&lt;&gt;"",$F$3:$F$16))),0.95),"")</f>
        <v/>
      </c>
      <c r="O25" s="144" t="str">
        <f t="array" ref="O25">IFERROR(PERCENTILE(IF($B$3:$B$16=$B25,IF($D$3:$D$16=O$19,IF($F$3:$F$16&lt;&gt;"",$F$3:$F$16))),0.95),"")</f>
        <v/>
      </c>
      <c r="P25" s="144" t="str">
        <f t="array" ref="P25">IFERROR(PERCENTILE(IF($B$3:$B$16=$B25,IF($D$3:$D$16=P$19,IF($F$3:$F$16&lt;&gt;"",$F$3:$F$16))),0.95),"")</f>
        <v/>
      </c>
      <c r="Q25" s="144" t="str">
        <f t="array" ref="Q25">IFERROR(PERCENTILE(IF($B$3:$B$16=$B25,IF($D$3:$D$16=Q$19,IF($F$3:$F$16&lt;&gt;"",$F$3:$F$16))),0.95),"")</f>
        <v/>
      </c>
      <c r="R25" s="144" t="str">
        <f t="array" ref="R25">IFERROR(PERCENTILE(IF($B$3:$B$16=$B25,IF($D$3:$D$16=R$19,IF($F$3:$F$16&lt;&gt;"",$F$3:$F$16))),0.95),"")</f>
        <v/>
      </c>
      <c r="S25" s="144" t="str">
        <f t="array" ref="S25">IFERROR(PERCENTILE(IF($B$3:$B$16=$B25,IF($D$3:$D$16=S$19,IF($F$3:$F$16&lt;&gt;"",$F$3:$F$16))),0.95),"")</f>
        <v/>
      </c>
    </row>
    <row r="26" spans="1:19" ht="15" customHeight="1" x14ac:dyDescent="0.25">
      <c r="A26" s="85">
        <f t="shared" ref="A26:A30" si="4">IF(B26="",1,0)</f>
        <v>0</v>
      </c>
      <c r="B26" s="104" t="str">
        <f t="array" ref="B26">IFERROR(INDEX($B$3:$B$16, MATCH(0,IF(ISBLANK($B$3:$B$16),1,COUNTIF($B$20:B25, $B$3:$B$16)), 0)),"")</f>
        <v>Madhya Pradesh</v>
      </c>
      <c r="C26" s="105"/>
      <c r="D26" s="105"/>
      <c r="E26" s="105"/>
      <c r="F26" s="106"/>
      <c r="G26" s="144" t="str">
        <f t="array" ref="G26">IFERROR(PERCENTILE(IF($B$3:$B$16=$B26,IF($D$3:$D$16=G$19,IF($F$3:$F$16&lt;&gt;"",$F$3:$F$16))),0.95),"")</f>
        <v/>
      </c>
      <c r="H26" s="144" t="str">
        <f t="array" ref="H26">IFERROR(PERCENTILE(IF($B$3:$B$16=$B26,IF($D$3:$D$16=H$19,IF($F$3:$F$16&lt;&gt;"",$F$3:$F$16))),0.95),"")</f>
        <v/>
      </c>
      <c r="I26" s="144" t="str">
        <f t="array" ref="I26">IFERROR(PERCENTILE(IF($B$3:$B$16=$B26,IF($D$3:$D$16=I$19,IF($F$3:$F$16&lt;&gt;"",$F$3:$F$16))),0.95),"")</f>
        <v/>
      </c>
      <c r="J26" s="144" t="str">
        <f t="array" ref="J26">IFERROR(PERCENTILE(IF($B$3:$B$16=$B26,IF($D$3:$D$16=J$19,IF($F$3:$F$16&lt;&gt;"",$F$3:$F$16))),0.95),"")</f>
        <v/>
      </c>
      <c r="K26" s="144" t="str">
        <f t="array" ref="K26">IFERROR(PERCENTILE(IF($B$3:$B$16=$B26,IF($D$3:$D$16=K$19,IF($F$3:$F$16&lt;&gt;"",$F$3:$F$16))),0.95),"")</f>
        <v/>
      </c>
      <c r="L26" s="144" t="str">
        <f t="array" ref="L26">IFERROR(PERCENTILE(IF($B$3:$B$16=$B26,IF($D$3:$D$16=L$19,IF($F$3:$F$16&lt;&gt;"",$F$3:$F$16))),0.95),"")</f>
        <v/>
      </c>
      <c r="M26" s="144" t="str">
        <f t="array" ref="M26">IFERROR(PERCENTILE(IF($B$3:$B$16=$B26,IF($D$3:$D$16=M$19,IF($F$3:$F$16&lt;&gt;"",$F$3:$F$16))),0.95),"")</f>
        <v/>
      </c>
      <c r="N26" s="144" t="str">
        <f t="array" ref="N26">IFERROR(PERCENTILE(IF($B$3:$B$16=$B26,IF($D$3:$D$16=N$19,IF($F$3:$F$16&lt;&gt;"",$F$3:$F$16))),0.95),"")</f>
        <v/>
      </c>
      <c r="O26" s="144">
        <f t="array" ref="O26">IFERROR(PERCENTILE(IF($B$3:$B$16=$B26,IF($D$3:$D$16=O$19,IF($F$3:$F$16&lt;&gt;"",$F$3:$F$16))),0.95),"")</f>
        <v>0.99</v>
      </c>
      <c r="P26" s="144" t="str">
        <f t="array" ref="P26">IFERROR(PERCENTILE(IF($B$3:$B$16=$B26,IF($D$3:$D$16=P$19,IF($F$3:$F$16&lt;&gt;"",$F$3:$F$16))),0.95),"")</f>
        <v/>
      </c>
      <c r="Q26" s="144" t="str">
        <f t="array" ref="Q26">IFERROR(PERCENTILE(IF($B$3:$B$16=$B26,IF($D$3:$D$16=Q$19,IF($F$3:$F$16&lt;&gt;"",$F$3:$F$16))),0.95),"")</f>
        <v/>
      </c>
      <c r="R26" s="144" t="str">
        <f t="array" ref="R26">IFERROR(PERCENTILE(IF($B$3:$B$16=$B26,IF($D$3:$D$16=R$19,IF($F$3:$F$16&lt;&gt;"",$F$3:$F$16))),0.95),"")</f>
        <v/>
      </c>
      <c r="S26" s="144" t="str">
        <f t="array" ref="S26">IFERROR(PERCENTILE(IF($B$3:$B$16=$B26,IF($D$3:$D$16=S$19,IF($F$3:$F$16&lt;&gt;"",$F$3:$F$16))),0.95),"")</f>
        <v/>
      </c>
    </row>
    <row r="27" spans="1:19" ht="15" customHeight="1" x14ac:dyDescent="0.25">
      <c r="A27" s="85">
        <f t="shared" si="4"/>
        <v>0</v>
      </c>
      <c r="B27" s="104" t="str">
        <f t="array" ref="B27">IFERROR(INDEX($B$3:$B$16, MATCH(0,IF(ISBLANK($B$3:$B$16),1,COUNTIF($B$20:B26, $B$3:$B$16)), 0)),"")</f>
        <v>Gujrat</v>
      </c>
      <c r="C27" s="105"/>
      <c r="D27" s="105"/>
      <c r="E27" s="105"/>
      <c r="F27" s="106"/>
      <c r="G27" s="144" t="str">
        <f t="array" ref="G27">IFERROR(PERCENTILE(IF($B$3:$B$16=$B27,IF($D$3:$D$16=G$19,IF($F$3:$F$16&lt;&gt;"",$F$3:$F$16))),0.95),"")</f>
        <v/>
      </c>
      <c r="H27" s="144" t="str">
        <f t="array" ref="H27">IFERROR(PERCENTILE(IF($B$3:$B$16=$B27,IF($D$3:$D$16=H$19,IF($F$3:$F$16&lt;&gt;"",$F$3:$F$16))),0.95),"")</f>
        <v/>
      </c>
      <c r="I27" s="144" t="str">
        <f t="array" ref="I27">IFERROR(PERCENTILE(IF($B$3:$B$16=$B27,IF($D$3:$D$16=I$19,IF($F$3:$F$16&lt;&gt;"",$F$3:$F$16))),0.95),"")</f>
        <v/>
      </c>
      <c r="J27" s="144" t="str">
        <f t="array" ref="J27">IFERROR(PERCENTILE(IF($B$3:$B$16=$B27,IF($D$3:$D$16=J$19,IF($F$3:$F$16&lt;&gt;"",$F$3:$F$16))),0.95),"")</f>
        <v/>
      </c>
      <c r="K27" s="144" t="str">
        <f t="array" ref="K27">IFERROR(PERCENTILE(IF($B$3:$B$16=$B27,IF($D$3:$D$16=K$19,IF($F$3:$F$16&lt;&gt;"",$F$3:$F$16))),0.95),"")</f>
        <v/>
      </c>
      <c r="L27" s="144" t="str">
        <f t="array" ref="L27">IFERROR(PERCENTILE(IF($B$3:$B$16=$B27,IF($D$3:$D$16=L$19,IF($F$3:$F$16&lt;&gt;"",$F$3:$F$16))),0.95),"")</f>
        <v/>
      </c>
      <c r="M27" s="144" t="str">
        <f t="array" ref="M27">IFERROR(PERCENTILE(IF($B$3:$B$16=$B27,IF($D$3:$D$16=M$19,IF($F$3:$F$16&lt;&gt;"",$F$3:$F$16))),0.95),"")</f>
        <v/>
      </c>
      <c r="N27" s="144" t="str">
        <f t="array" ref="N27">IFERROR(PERCENTILE(IF($B$3:$B$16=$B27,IF($D$3:$D$16=N$19,IF($F$3:$F$16&lt;&gt;"",$F$3:$F$16))),0.95),"")</f>
        <v/>
      </c>
      <c r="O27" s="144" t="str">
        <f t="array" ref="O27">IFERROR(PERCENTILE(IF($B$3:$B$16=$B27,IF($D$3:$D$16=O$19,IF($F$3:$F$16&lt;&gt;"",$F$3:$F$16))),0.95),"")</f>
        <v/>
      </c>
      <c r="P27" s="144">
        <f t="array" ref="P27">IFERROR(PERCENTILE(IF($B$3:$B$16=$B27,IF($D$3:$D$16=P$19,IF($F$3:$F$16&lt;&gt;"",$F$3:$F$16))),0.95),"")</f>
        <v>0.73</v>
      </c>
      <c r="Q27" s="144" t="str">
        <f t="array" ref="Q27">IFERROR(PERCENTILE(IF($B$3:$B$16=$B27,IF($D$3:$D$16=Q$19,IF($F$3:$F$16&lt;&gt;"",$F$3:$F$16))),0.95),"")</f>
        <v/>
      </c>
      <c r="R27" s="144" t="str">
        <f t="array" ref="R27">IFERROR(PERCENTILE(IF($B$3:$B$16=$B27,IF($D$3:$D$16=R$19,IF($F$3:$F$16&lt;&gt;"",$F$3:$F$16))),0.95),"")</f>
        <v/>
      </c>
      <c r="S27" s="144" t="str">
        <f t="array" ref="S27">IFERROR(PERCENTILE(IF($B$3:$B$16=$B27,IF($D$3:$D$16=S$19,IF($F$3:$F$16&lt;&gt;"",$F$3:$F$16))),0.95),"")</f>
        <v/>
      </c>
    </row>
    <row r="28" spans="1:19" ht="15" customHeight="1" x14ac:dyDescent="0.25">
      <c r="A28" s="85">
        <f t="shared" si="4"/>
        <v>0</v>
      </c>
      <c r="B28" s="104" t="str">
        <f t="array" ref="B28">IFERROR(INDEX($B$3:$B$16, MATCH(0,IF(ISBLANK($B$3:$B$16),1,COUNTIF($B$20:B27, $B$3:$B$16)), 0)),"")</f>
        <v>Ludhiyana</v>
      </c>
      <c r="C28" s="105"/>
      <c r="D28" s="105"/>
      <c r="E28" s="105"/>
      <c r="F28" s="106"/>
      <c r="G28" s="144" t="str">
        <f t="array" ref="G28">IFERROR(PERCENTILE(IF($B$3:$B$16=$B28,IF($D$3:$D$16=G$19,IF($F$3:$F$16&lt;&gt;"",$F$3:$F$16))),0.95),"")</f>
        <v/>
      </c>
      <c r="H28" s="144" t="str">
        <f t="array" ref="H28">IFERROR(PERCENTILE(IF($B$3:$B$16=$B28,IF($D$3:$D$16=H$19,IF($F$3:$F$16&lt;&gt;"",$F$3:$F$16))),0.95),"")</f>
        <v/>
      </c>
      <c r="I28" s="144" t="str">
        <f t="array" ref="I28">IFERROR(PERCENTILE(IF($B$3:$B$16=$B28,IF($D$3:$D$16=I$19,IF($F$3:$F$16&lt;&gt;"",$F$3:$F$16))),0.95),"")</f>
        <v/>
      </c>
      <c r="J28" s="144" t="str">
        <f t="array" ref="J28">IFERROR(PERCENTILE(IF($B$3:$B$16=$B28,IF($D$3:$D$16=J$19,IF($F$3:$F$16&lt;&gt;"",$F$3:$F$16))),0.95),"")</f>
        <v/>
      </c>
      <c r="K28" s="144" t="str">
        <f t="array" ref="K28">IFERROR(PERCENTILE(IF($B$3:$B$16=$B28,IF($D$3:$D$16=K$19,IF($F$3:$F$16&lt;&gt;"",$F$3:$F$16))),0.95),"")</f>
        <v/>
      </c>
      <c r="L28" s="144" t="str">
        <f t="array" ref="L28">IFERROR(PERCENTILE(IF($B$3:$B$16=$B28,IF($D$3:$D$16=L$19,IF($F$3:$F$16&lt;&gt;"",$F$3:$F$16))),0.95),"")</f>
        <v/>
      </c>
      <c r="M28" s="144" t="str">
        <f t="array" ref="M28">IFERROR(PERCENTILE(IF($B$3:$B$16=$B28,IF($D$3:$D$16=M$19,IF($F$3:$F$16&lt;&gt;"",$F$3:$F$16))),0.95),"")</f>
        <v/>
      </c>
      <c r="N28" s="144" t="str">
        <f t="array" ref="N28">IFERROR(PERCENTILE(IF($B$3:$B$16=$B28,IF($D$3:$D$16=N$19,IF($F$3:$F$16&lt;&gt;"",$F$3:$F$16))),0.95),"")</f>
        <v/>
      </c>
      <c r="O28" s="144" t="str">
        <f t="array" ref="O28">IFERROR(PERCENTILE(IF($B$3:$B$16=$B28,IF($D$3:$D$16=O$19,IF($F$3:$F$16&lt;&gt;"",$F$3:$F$16))),0.95),"")</f>
        <v/>
      </c>
      <c r="P28" s="144" t="str">
        <f t="array" ref="P28">IFERROR(PERCENTILE(IF($B$3:$B$16=$B28,IF($D$3:$D$16=P$19,IF($F$3:$F$16&lt;&gt;"",$F$3:$F$16))),0.95),"")</f>
        <v/>
      </c>
      <c r="Q28" s="144">
        <f t="array" ref="Q28">IFERROR(PERCENTILE(IF($B$3:$B$16=$B28,IF($D$3:$D$16=Q$19,IF($F$3:$F$16&lt;&gt;"",$F$3:$F$16))),0.95),"")</f>
        <v>0.44</v>
      </c>
      <c r="R28" s="144" t="str">
        <f t="array" ref="R28">IFERROR(PERCENTILE(IF($B$3:$B$16=$B28,IF($D$3:$D$16=R$19,IF($F$3:$F$16&lt;&gt;"",$F$3:$F$16))),0.95),"")</f>
        <v/>
      </c>
      <c r="S28" s="144" t="str">
        <f t="array" ref="S28">IFERROR(PERCENTILE(IF($B$3:$B$16=$B28,IF($D$3:$D$16=S$19,IF($F$3:$F$16&lt;&gt;"",$F$3:$F$16))),0.95),"")</f>
        <v/>
      </c>
    </row>
    <row r="29" spans="1:19" ht="15" customHeight="1" x14ac:dyDescent="0.25">
      <c r="A29" s="85">
        <f t="shared" si="4"/>
        <v>0</v>
      </c>
      <c r="B29" s="104" t="str">
        <f t="array" ref="B29">IFERROR(INDEX($B$3:$B$16, MATCH(0,IF(ISBLANK($B$3:$B$16),1,COUNTIF($B$20:B28, $B$3:$B$16)), 0)),"")</f>
        <v>Uttar Pradesh</v>
      </c>
      <c r="C29" s="105"/>
      <c r="D29" s="105"/>
      <c r="E29" s="105"/>
      <c r="F29" s="106"/>
      <c r="G29" s="144" t="str">
        <f t="array" ref="G29">IFERROR(PERCENTILE(IF($B$3:$B$16=$B29,IF($D$3:$D$16=G$19,IF($F$3:$F$16&lt;&gt;"",$F$3:$F$16))),0.95),"")</f>
        <v/>
      </c>
      <c r="H29" s="144" t="str">
        <f t="array" ref="H29">IFERROR(PERCENTILE(IF($B$3:$B$16=$B29,IF($D$3:$D$16=H$19,IF($F$3:$F$16&lt;&gt;"",$F$3:$F$16))),0.95),"")</f>
        <v/>
      </c>
      <c r="I29" s="144" t="str">
        <f t="array" ref="I29">IFERROR(PERCENTILE(IF($B$3:$B$16=$B29,IF($D$3:$D$16=I$19,IF($F$3:$F$16&lt;&gt;"",$F$3:$F$16))),0.95),"")</f>
        <v/>
      </c>
      <c r="J29" s="144" t="str">
        <f t="array" ref="J29">IFERROR(PERCENTILE(IF($B$3:$B$16=$B29,IF($D$3:$D$16=J$19,IF($F$3:$F$16&lt;&gt;"",$F$3:$F$16))),0.95),"")</f>
        <v/>
      </c>
      <c r="K29" s="144" t="str">
        <f t="array" ref="K29">IFERROR(PERCENTILE(IF($B$3:$B$16=$B29,IF($D$3:$D$16=K$19,IF($F$3:$F$16&lt;&gt;"",$F$3:$F$16))),0.95),"")</f>
        <v/>
      </c>
      <c r="L29" s="144" t="str">
        <f t="array" ref="L29">IFERROR(PERCENTILE(IF($B$3:$B$16=$B29,IF($D$3:$D$16=L$19,IF($F$3:$F$16&lt;&gt;"",$F$3:$F$16))),0.95),"")</f>
        <v/>
      </c>
      <c r="M29" s="144" t="str">
        <f t="array" ref="M29">IFERROR(PERCENTILE(IF($B$3:$B$16=$B29,IF($D$3:$D$16=M$19,IF($F$3:$F$16&lt;&gt;"",$F$3:$F$16))),0.95),"")</f>
        <v/>
      </c>
      <c r="N29" s="144" t="str">
        <f t="array" ref="N29">IFERROR(PERCENTILE(IF($B$3:$B$16=$B29,IF($D$3:$D$16=N$19,IF($F$3:$F$16&lt;&gt;"",$F$3:$F$16))),0.95),"")</f>
        <v/>
      </c>
      <c r="O29" s="144" t="str">
        <f t="array" ref="O29">IFERROR(PERCENTILE(IF($B$3:$B$16=$B29,IF($D$3:$D$16=O$19,IF($F$3:$F$16&lt;&gt;"",$F$3:$F$16))),0.95),"")</f>
        <v/>
      </c>
      <c r="P29" s="144" t="str">
        <f t="array" ref="P29">IFERROR(PERCENTILE(IF($B$3:$B$16=$B29,IF($D$3:$D$16=P$19,IF($F$3:$F$16&lt;&gt;"",$F$3:$F$16))),0.95),"")</f>
        <v/>
      </c>
      <c r="Q29" s="144" t="str">
        <f t="array" ref="Q29">IFERROR(PERCENTILE(IF($B$3:$B$16=$B29,IF($D$3:$D$16=Q$19,IF($F$3:$F$16&lt;&gt;"",$F$3:$F$16))),0.95),"")</f>
        <v/>
      </c>
      <c r="R29" s="144">
        <f t="array" ref="R29">IFERROR(PERCENTILE(IF($B$3:$B$16=$B29,IF($D$3:$D$16=R$19,IF($F$3:$F$16&lt;&gt;"",$F$3:$F$16))),0.95),"")</f>
        <v>0.19</v>
      </c>
      <c r="S29" s="144" t="str">
        <f t="array" ref="S29">IFERROR(PERCENTILE(IF($B$3:$B$16=$B29,IF($D$3:$D$16=S$19,IF($F$3:$F$16&lt;&gt;"",$F$3:$F$16))),0.95),"")</f>
        <v/>
      </c>
    </row>
    <row r="30" spans="1:19" ht="15" customHeight="1" x14ac:dyDescent="0.25">
      <c r="A30" s="85">
        <f t="shared" si="4"/>
        <v>0</v>
      </c>
      <c r="B30" s="104" t="str">
        <f t="array" ref="B30">IFERROR(INDEX($B$3:$B$16, MATCH(0,IF(ISBLANK($B$3:$B$16),1,COUNTIF($B$20:B29, $B$3:$B$16)), 0)),"")</f>
        <v>Sikkim</v>
      </c>
      <c r="C30" s="105"/>
      <c r="D30" s="105"/>
      <c r="E30" s="105"/>
      <c r="F30" s="106"/>
      <c r="G30" s="144" t="str">
        <f t="array" ref="G30">IFERROR(PERCENTILE(IF($B$3:$B$16=$B30,IF($D$3:$D$16=G$19,IF($F$3:$F$16&lt;&gt;"",$F$3:$F$16))),0.95),"")</f>
        <v/>
      </c>
      <c r="H30" s="144" t="str">
        <f t="array" ref="H30">IFERROR(PERCENTILE(IF($B$3:$B$16=$B30,IF($D$3:$D$16=H$19,IF($F$3:$F$16&lt;&gt;"",$F$3:$F$16))),0.95),"")</f>
        <v/>
      </c>
      <c r="I30" s="144" t="str">
        <f t="array" ref="I30">IFERROR(PERCENTILE(IF($B$3:$B$16=$B30,IF($D$3:$D$16=I$19,IF($F$3:$F$16&lt;&gt;"",$F$3:$F$16))),0.95),"")</f>
        <v/>
      </c>
      <c r="J30" s="144" t="str">
        <f t="array" ref="J30">IFERROR(PERCENTILE(IF($B$3:$B$16=$B30,IF($D$3:$D$16=J$19,IF($F$3:$F$16&lt;&gt;"",$F$3:$F$16))),0.95),"")</f>
        <v/>
      </c>
      <c r="K30" s="144" t="str">
        <f t="array" ref="K30">IFERROR(PERCENTILE(IF($B$3:$B$16=$B30,IF($D$3:$D$16=K$19,IF($F$3:$F$16&lt;&gt;"",$F$3:$F$16))),0.95),"")</f>
        <v/>
      </c>
      <c r="L30" s="144" t="str">
        <f t="array" ref="L30">IFERROR(PERCENTILE(IF($B$3:$B$16=$B30,IF($D$3:$D$16=L$19,IF($F$3:$F$16&lt;&gt;"",$F$3:$F$16))),0.95),"")</f>
        <v/>
      </c>
      <c r="M30" s="144" t="str">
        <f t="array" ref="M30">IFERROR(PERCENTILE(IF($B$3:$B$16=$B30,IF($D$3:$D$16=M$19,IF($F$3:$F$16&lt;&gt;"",$F$3:$F$16))),0.95),"")</f>
        <v/>
      </c>
      <c r="N30" s="144" t="str">
        <f t="array" ref="N30">IFERROR(PERCENTILE(IF($B$3:$B$16=$B30,IF($D$3:$D$16=N$19,IF($F$3:$F$16&lt;&gt;"",$F$3:$F$16))),0.95),"")</f>
        <v/>
      </c>
      <c r="O30" s="144" t="str">
        <f t="array" ref="O30">IFERROR(PERCENTILE(IF($B$3:$B$16=$B30,IF($D$3:$D$16=O$19,IF($F$3:$F$16&lt;&gt;"",$F$3:$F$16))),0.95),"")</f>
        <v/>
      </c>
      <c r="P30" s="144" t="str">
        <f t="array" ref="P30">IFERROR(PERCENTILE(IF($B$3:$B$16=$B30,IF($D$3:$D$16=P$19,IF($F$3:$F$16&lt;&gt;"",$F$3:$F$16))),0.95),"")</f>
        <v/>
      </c>
      <c r="Q30" s="144" t="str">
        <f t="array" ref="Q30">IFERROR(PERCENTILE(IF($B$3:$B$16=$B30,IF($D$3:$D$16=Q$19,IF($F$3:$F$16&lt;&gt;"",$F$3:$F$16))),0.95),"")</f>
        <v/>
      </c>
      <c r="R30" s="144" t="str">
        <f t="array" ref="R30">IFERROR(PERCENTILE(IF($B$3:$B$16=$B30,IF($D$3:$D$16=R$19,IF($F$3:$F$16&lt;&gt;"",$F$3:$F$16))),0.95),"")</f>
        <v/>
      </c>
      <c r="S30" s="144">
        <f t="array" ref="S30">IFERROR(PERCENTILE(IF($B$3:$B$16=$B30,IF($D$3:$D$16=S$19,IF($F$3:$F$16&lt;&gt;"",$F$3:$F$16))),0.95),"")</f>
        <v>0.62</v>
      </c>
    </row>
    <row r="31" spans="1:19" ht="9" customHeight="1" x14ac:dyDescent="0.25"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</row>
    <row r="32" spans="1:19" ht="9" customHeight="1" x14ac:dyDescent="0.25">
      <c r="A32" s="85" t="s">
        <v>549</v>
      </c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</row>
    <row r="33" spans="1:19" ht="15" hidden="1" customHeight="1" x14ac:dyDescent="0.25">
      <c r="G33" s="107">
        <f t="shared" ref="G33" si="5">G19</f>
        <v>43100</v>
      </c>
      <c r="H33" s="107">
        <f t="shared" ref="H33:S33" si="6">H19</f>
        <v>43131</v>
      </c>
      <c r="I33" s="107">
        <f t="shared" si="6"/>
        <v>43159</v>
      </c>
      <c r="J33" s="107">
        <f t="shared" si="6"/>
        <v>43190</v>
      </c>
      <c r="K33" s="107">
        <f t="shared" si="6"/>
        <v>43220</v>
      </c>
      <c r="L33" s="107">
        <f t="shared" si="6"/>
        <v>43251</v>
      </c>
      <c r="M33" s="107">
        <f t="shared" si="6"/>
        <v>43281</v>
      </c>
      <c r="N33" s="107">
        <f t="shared" si="6"/>
        <v>43312</v>
      </c>
      <c r="O33" s="107">
        <f t="shared" si="6"/>
        <v>43343</v>
      </c>
      <c r="P33" s="107">
        <f t="shared" si="6"/>
        <v>43373</v>
      </c>
      <c r="Q33" s="107">
        <f t="shared" si="6"/>
        <v>43404</v>
      </c>
      <c r="R33" s="107">
        <f t="shared" si="6"/>
        <v>43434</v>
      </c>
      <c r="S33" s="107">
        <f t="shared" si="6"/>
        <v>43465</v>
      </c>
    </row>
    <row r="34" spans="1:19" ht="20.25" customHeight="1" x14ac:dyDescent="0.25">
      <c r="B34" s="108" t="s">
        <v>588</v>
      </c>
      <c r="C34" s="109"/>
      <c r="D34" s="109"/>
      <c r="E34" s="109"/>
      <c r="F34" s="110"/>
      <c r="G34" s="146">
        <f t="shared" ref="G34:S34" si="7">IFERROR(AVERAGE(G21:G32),0)</f>
        <v>0.5</v>
      </c>
      <c r="H34" s="146">
        <f t="shared" si="7"/>
        <v>0.5</v>
      </c>
      <c r="I34" s="146">
        <f t="shared" si="7"/>
        <v>0.5</v>
      </c>
      <c r="J34" s="146">
        <f t="shared" si="7"/>
        <v>0.19</v>
      </c>
      <c r="K34" s="146">
        <f t="shared" si="7"/>
        <v>0.33</v>
      </c>
      <c r="L34" s="146">
        <f t="shared" si="7"/>
        <v>0.25</v>
      </c>
      <c r="M34" s="146">
        <f t="shared" si="7"/>
        <v>0.25</v>
      </c>
      <c r="N34" s="146">
        <f t="shared" si="7"/>
        <v>0.11</v>
      </c>
      <c r="O34" s="146">
        <f t="shared" si="7"/>
        <v>0.99</v>
      </c>
      <c r="P34" s="146">
        <f t="shared" si="7"/>
        <v>0.73</v>
      </c>
      <c r="Q34" s="146">
        <f t="shared" si="7"/>
        <v>0.44</v>
      </c>
      <c r="R34" s="146">
        <f t="shared" si="7"/>
        <v>0.19</v>
      </c>
      <c r="S34" s="146">
        <f t="shared" si="7"/>
        <v>0.62</v>
      </c>
    </row>
    <row r="35" spans="1:19" ht="24.75" customHeight="1" x14ac:dyDescent="0.25"/>
    <row r="36" spans="1:19" ht="28.5" hidden="1" customHeight="1" x14ac:dyDescent="0.25">
      <c r="A36" s="85">
        <v>10</v>
      </c>
      <c r="B36" s="111" t="s">
        <v>589</v>
      </c>
      <c r="C36" s="111" t="s">
        <v>590</v>
      </c>
      <c r="D36" s="111" t="s">
        <v>591</v>
      </c>
      <c r="E36" s="112"/>
    </row>
    <row r="37" spans="1:19" ht="15" hidden="1" customHeight="1" x14ac:dyDescent="0.25">
      <c r="A37" s="113">
        <f>IFERROR(IF(D37="",1,0),1)</f>
        <v>0</v>
      </c>
      <c r="B37" s="114">
        <f>INDEX(Dates,1,E37)</f>
        <v>43100</v>
      </c>
      <c r="C37" s="114">
        <f t="shared" ref="C37" si="8">B37</f>
        <v>43100</v>
      </c>
      <c r="D37" s="115">
        <f>HLOOKUP(B37,ReadingTable,2,FALSE)</f>
        <v>0.5</v>
      </c>
      <c r="E37" s="116">
        <f>IF(E36="",7,E36+1)</f>
        <v>7</v>
      </c>
    </row>
    <row r="38" spans="1:19" hidden="1" x14ac:dyDescent="0.25"/>
    <row r="39" spans="1:19" ht="24" hidden="1" x14ac:dyDescent="0.25">
      <c r="B39" s="117" t="s">
        <v>586</v>
      </c>
      <c r="C39" s="117" t="s">
        <v>592</v>
      </c>
    </row>
    <row r="40" spans="1:19" hidden="1" x14ac:dyDescent="0.25">
      <c r="B40" s="118">
        <f t="array" ref="B40">SUM(IF($D$3:$D$16&lt;&gt;"",1/COUNTIF($D$3:$D$16, $D$3:$D$16), 0))</f>
        <v>13</v>
      </c>
      <c r="C40" s="118">
        <f t="array" ref="C40">SUM(IF($B$3:$B$16&lt;&gt;"",1/COUNTIF($B$3:$B$16, $B$3:$B$16), 0))</f>
        <v>10</v>
      </c>
    </row>
    <row r="41" spans="1:19" hidden="1" x14ac:dyDescent="0.25"/>
    <row r="42" spans="1:19" ht="25.5" hidden="1" x14ac:dyDescent="0.25">
      <c r="B42" s="111" t="s">
        <v>597</v>
      </c>
    </row>
    <row r="43" spans="1:19" ht="15" hidden="1" x14ac:dyDescent="0.25">
      <c r="A43" s="28"/>
      <c r="B43" s="48"/>
      <c r="C43" s="48"/>
      <c r="D43" s="84"/>
      <c r="E43" s="119"/>
    </row>
  </sheetData>
  <sheetProtection algorithmName="SHA-512" hashValue="EyAo2Jyhwlk1+2Mg1sbkS3vJPQRoQJMB8hypjKjOv5Sz1UnIR5+0WK9RhAazQB7PgMVi2zVr8a4vVvEdsZlWjQ==" saltValue="Cc7bFTAvWm6CNfdiMeI0oQ==" spinCount="100000" sheet="1" objects="1" scenarios="1"/>
  <autoFilter ref="B2:F4" xr:uid="{00000000-0009-0000-0000-000005000000}"/>
  <mergeCells count="1">
    <mergeCell ref="B18:B20"/>
  </mergeCells>
  <dataValidations count="4">
    <dataValidation type="decimal" allowBlank="1" showInputMessage="1" showErrorMessage="1" error="Please enter a valid reading." sqref="D43" xr:uid="{00000000-0002-0000-0500-000000000000}">
      <formula1>0</formula1>
      <formula2>99999999</formula2>
    </dataValidation>
    <dataValidation type="date" allowBlank="1" showInputMessage="1" showErrorMessage="1" error="Please enter a valid date in mm/dd/yyyy format." sqref="B43:C43" xr:uid="{00000000-0002-0000-0500-000001000000}">
      <formula1>1</formula1>
      <formula2>73051</formula2>
    </dataValidation>
    <dataValidation type="date" allowBlank="1" showInputMessage="1" showErrorMessage="1" error="Please enter a valid date in mm/dd/yyyy format." sqref="D3:D15" xr:uid="{00000000-0002-0000-0500-000002000000}">
      <formula1>1</formula1>
      <formula2>2958464</formula2>
    </dataValidation>
    <dataValidation type="time" allowBlank="1" showInputMessage="1" showErrorMessage="1" error="Please enter a valid time in hh:mm format." sqref="E3:E15" xr:uid="{00000000-0002-0000-05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22"/>
  <sheetViews>
    <sheetView zoomScaleNormal="100" workbookViewId="0">
      <selection activeCell="E23" sqref="E23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603</v>
      </c>
      <c r="B1" s="45"/>
      <c r="C1" s="45"/>
      <c r="D1" s="45"/>
      <c r="E1" s="45"/>
    </row>
    <row r="2" spans="1:5" x14ac:dyDescent="0.25">
      <c r="A2" s="6" t="s">
        <v>603</v>
      </c>
      <c r="B2" s="204" t="s">
        <v>568</v>
      </c>
      <c r="C2" s="205"/>
      <c r="D2" s="41" t="s">
        <v>614</v>
      </c>
      <c r="E2" s="45"/>
    </row>
    <row r="3" spans="1:5" x14ac:dyDescent="0.25">
      <c r="A3" s="6" t="s">
        <v>603</v>
      </c>
      <c r="B3" s="202" t="s">
        <v>569</v>
      </c>
      <c r="C3" s="203"/>
      <c r="D3" s="41" t="s">
        <v>615</v>
      </c>
      <c r="E3" s="45"/>
    </row>
    <row r="4" spans="1:5" x14ac:dyDescent="0.25">
      <c r="A4" s="6" t="s">
        <v>603</v>
      </c>
      <c r="B4" s="44" t="s">
        <v>570</v>
      </c>
      <c r="C4" s="27"/>
      <c r="D4" s="41" t="s">
        <v>604</v>
      </c>
      <c r="E4" s="45"/>
    </row>
    <row r="5" spans="1:5" s="3" customFormat="1" ht="20.45" customHeight="1" x14ac:dyDescent="0.25">
      <c r="A5" s="6"/>
      <c r="B5" s="177" t="s">
        <v>620</v>
      </c>
      <c r="C5" s="153"/>
      <c r="D5" s="176"/>
      <c r="E5" s="1"/>
    </row>
    <row r="6" spans="1:5" ht="33.75" customHeight="1" x14ac:dyDescent="0.25">
      <c r="A6" s="6">
        <v>22</v>
      </c>
      <c r="B6" s="4" t="s">
        <v>547</v>
      </c>
      <c r="C6" s="4" t="s">
        <v>548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19" si="0">INDEX(DatesVOC,1,E7)</f>
        <v>43100</v>
      </c>
      <c r="C7" s="66">
        <f t="shared" ref="C7" si="1">B7</f>
        <v>43100</v>
      </c>
      <c r="D7" s="67">
        <f t="array" ref="D7">HLOOKUP(B7,ReadingTableVOC,2,FALSE)</f>
        <v>3221</v>
      </c>
      <c r="E7" s="82">
        <f>IF(E6="",8,E6+1)</f>
        <v>8</v>
      </c>
    </row>
    <row r="8" spans="1:5" ht="15" customHeight="1" x14ac:dyDescent="0.25">
      <c r="A8" s="51">
        <f t="shared" ref="A8:A19" si="2">IFERROR(IF(D8="",1,0),1)</f>
        <v>0</v>
      </c>
      <c r="B8" s="66">
        <f t="shared" si="0"/>
        <v>43131</v>
      </c>
      <c r="C8" s="66">
        <f t="shared" ref="C8:C19" si="3">B8</f>
        <v>43131</v>
      </c>
      <c r="D8" s="67">
        <f t="array" ref="D8">HLOOKUP(B8,ReadingTableVOC,2,FALSE)</f>
        <v>1232</v>
      </c>
      <c r="E8" s="82">
        <f t="shared" ref="E8:E19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43159</v>
      </c>
      <c r="C9" s="66">
        <f t="shared" si="3"/>
        <v>43159</v>
      </c>
      <c r="D9" s="67">
        <f t="array" ref="D9">HLOOKUP(B9,ReadingTableVOC,2,FALSE)</f>
        <v>2677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43190</v>
      </c>
      <c r="C10" s="66">
        <f t="shared" si="3"/>
        <v>43190</v>
      </c>
      <c r="D10" s="67">
        <f t="array" ref="D10">HLOOKUP(B10,ReadingTableVOC,2,FALSE)</f>
        <v>2756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43220</v>
      </c>
      <c r="C11" s="66">
        <f t="shared" si="3"/>
        <v>43220</v>
      </c>
      <c r="D11" s="67">
        <f t="array" ref="D11">HLOOKUP(B11,ReadingTableVOC,2,FALSE)</f>
        <v>2577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43251</v>
      </c>
      <c r="C12" s="66">
        <f t="shared" si="3"/>
        <v>43251</v>
      </c>
      <c r="D12" s="67">
        <f t="array" ref="D12">HLOOKUP(B12,ReadingTableVOC,2,FALSE)</f>
        <v>2566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43281</v>
      </c>
      <c r="C13" s="66">
        <f t="shared" si="3"/>
        <v>43281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43312</v>
      </c>
      <c r="C14" s="66">
        <f t="shared" si="3"/>
        <v>43312</v>
      </c>
      <c r="D14" s="67">
        <f t="array" ref="D14">HLOOKUP(B14,ReadingTableVOC,2,FALSE)</f>
        <v>1993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43343</v>
      </c>
      <c r="C15" s="66">
        <f t="shared" si="3"/>
        <v>43343</v>
      </c>
      <c r="D15" s="67">
        <f t="array" ref="D15">HLOOKUP(B15,ReadingTableVOC,2,FALSE)</f>
        <v>1212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43373</v>
      </c>
      <c r="C16" s="66">
        <f t="shared" si="3"/>
        <v>43373</v>
      </c>
      <c r="D16" s="67">
        <f t="array" ref="D16">HLOOKUP(B16,ReadingTableVOC,2,FALSE)</f>
        <v>986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43404</v>
      </c>
      <c r="C17" s="66">
        <f t="shared" si="3"/>
        <v>43404</v>
      </c>
      <c r="D17" s="67">
        <f t="array" ref="D17">HLOOKUP(B17,ReadingTableVOC,2,FALSE)</f>
        <v>1098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43434</v>
      </c>
      <c r="C18" s="66">
        <f t="shared" si="3"/>
        <v>43434</v>
      </c>
      <c r="D18" s="67">
        <f t="array" ref="D18">HLOOKUP(B18,ReadingTableVOC,2,FALSE)</f>
        <v>1173</v>
      </c>
      <c r="E18" s="82">
        <f t="shared" si="4"/>
        <v>19</v>
      </c>
    </row>
    <row r="19" spans="1:5" ht="15" customHeight="1" x14ac:dyDescent="0.25">
      <c r="A19" s="51">
        <f t="shared" si="2"/>
        <v>0</v>
      </c>
      <c r="B19" s="66">
        <f t="shared" si="0"/>
        <v>43465</v>
      </c>
      <c r="C19" s="66">
        <f t="shared" si="3"/>
        <v>43465</v>
      </c>
      <c r="D19" s="67">
        <f t="array" ref="D19">HLOOKUP(B19,ReadingTableVOC,2,FALSE)</f>
        <v>2654</v>
      </c>
      <c r="E19" s="82">
        <f t="shared" si="4"/>
        <v>20</v>
      </c>
    </row>
    <row r="20" spans="1:5" ht="15" customHeight="1" x14ac:dyDescent="0.25">
      <c r="A20" s="6" t="s">
        <v>549</v>
      </c>
      <c r="B20" s="47"/>
      <c r="C20" s="47"/>
      <c r="D20" s="47"/>
      <c r="E20" s="45"/>
    </row>
    <row r="21" spans="1:5" ht="15" hidden="1" customHeight="1" x14ac:dyDescent="0.25">
      <c r="A21" s="6"/>
      <c r="B21" s="47"/>
      <c r="C21" s="47"/>
      <c r="D21" s="47"/>
      <c r="E21" s="45"/>
    </row>
    <row r="22" spans="1:5" ht="33.6" customHeight="1" x14ac:dyDescent="0.25">
      <c r="A22" s="6" t="s">
        <v>549</v>
      </c>
      <c r="B22" s="47"/>
      <c r="C22" s="47"/>
      <c r="D22" s="47"/>
      <c r="E22" s="45"/>
    </row>
  </sheetData>
  <sheetProtection algorithmName="SHA-512" hashValue="7t71Pwld7pl48YW2YSIpNDkk1AlIK1IFtWBIuOMrHXvOt3U2TdncpKk64b3ijt2qOW13NSxBfuYLGXjs6dgG3w==" saltValue="yCi5uhnNYIOucytIIzmOj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20:D22" xr:uid="{00000000-0002-0000-0600-000000000000}"/>
    <dataValidation type="decimal" allowBlank="1" showInputMessage="1" showErrorMessage="1" error="Please enter a valid reading." sqref="D7:D19" xr:uid="{00000000-0002-0000-0600-000001000000}">
      <formula1>0</formula1>
      <formula2>99999999</formula2>
    </dataValidation>
    <dataValidation type="date" allowBlank="1" showInputMessage="1" showErrorMessage="1" error="Please enter a valid date in mm/dd/yyyy format." sqref="B7:C19" xr:uid="{00000000-0002-0000-06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21</xdr:row>
                    <xdr:rowOff>28575</xdr:rowOff>
                  </from>
                  <to>
                    <xdr:col>2</xdr:col>
                    <xdr:colOff>466725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21</xdr:row>
                    <xdr:rowOff>352425</xdr:rowOff>
                  </from>
                  <to>
                    <xdr:col>3</xdr:col>
                    <xdr:colOff>990600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T36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603</v>
      </c>
      <c r="B1" s="54" t="s">
        <v>618</v>
      </c>
    </row>
    <row r="2" spans="1:8" ht="33.75" customHeight="1" x14ac:dyDescent="0.25">
      <c r="A2" s="52" t="s">
        <v>603</v>
      </c>
      <c r="B2" s="55" t="s">
        <v>582</v>
      </c>
      <c r="C2" s="56" t="s">
        <v>583</v>
      </c>
      <c r="D2" s="57" t="s">
        <v>584</v>
      </c>
      <c r="E2" s="58" t="s">
        <v>598</v>
      </c>
      <c r="F2" s="120" t="s">
        <v>599</v>
      </c>
      <c r="G2" s="59" t="s">
        <v>602</v>
      </c>
    </row>
    <row r="3" spans="1:8" x14ac:dyDescent="0.25">
      <c r="B3" s="122" t="s">
        <v>695</v>
      </c>
      <c r="C3" s="197">
        <v>43070</v>
      </c>
      <c r="D3" s="142">
        <v>43100</v>
      </c>
      <c r="E3" s="151">
        <v>0.375</v>
      </c>
      <c r="F3" s="152">
        <v>0.5</v>
      </c>
      <c r="G3" s="143">
        <v>3221</v>
      </c>
    </row>
    <row r="4" spans="1:8" x14ac:dyDescent="0.25">
      <c r="B4" s="122" t="s">
        <v>696</v>
      </c>
      <c r="C4" s="197">
        <v>43101</v>
      </c>
      <c r="D4" s="142">
        <v>43131</v>
      </c>
      <c r="E4" s="151">
        <v>0.41666666666666669</v>
      </c>
      <c r="F4" s="152">
        <v>0.5</v>
      </c>
      <c r="G4" s="143">
        <v>1232</v>
      </c>
      <c r="H4" s="60"/>
    </row>
    <row r="5" spans="1:8" x14ac:dyDescent="0.25">
      <c r="B5" s="122" t="s">
        <v>697</v>
      </c>
      <c r="C5" s="197">
        <v>43132</v>
      </c>
      <c r="D5" s="142">
        <v>43159</v>
      </c>
      <c r="E5" s="151">
        <v>0.45833333333333331</v>
      </c>
      <c r="F5" s="152">
        <v>0.5</v>
      </c>
      <c r="G5" s="143">
        <v>2677</v>
      </c>
      <c r="H5" s="60"/>
    </row>
    <row r="6" spans="1:8" x14ac:dyDescent="0.25">
      <c r="B6" s="122" t="s">
        <v>698</v>
      </c>
      <c r="C6" s="197">
        <v>43160</v>
      </c>
      <c r="D6" s="142">
        <v>43190</v>
      </c>
      <c r="E6" s="151">
        <v>0.10416666666666667</v>
      </c>
      <c r="F6" s="152">
        <v>0.18958333333333333</v>
      </c>
      <c r="G6" s="143">
        <v>2756</v>
      </c>
      <c r="H6" s="60"/>
    </row>
    <row r="7" spans="1:8" x14ac:dyDescent="0.25">
      <c r="B7" s="122" t="s">
        <v>699</v>
      </c>
      <c r="C7" s="197">
        <v>43191</v>
      </c>
      <c r="D7" s="142">
        <v>43220</v>
      </c>
      <c r="E7" s="151">
        <v>0.14583333333333334</v>
      </c>
      <c r="F7" s="152">
        <v>0.3298611111111111</v>
      </c>
      <c r="G7" s="143">
        <v>2577</v>
      </c>
      <c r="H7" s="60"/>
    </row>
    <row r="8" spans="1:8" x14ac:dyDescent="0.25">
      <c r="B8" s="122" t="s">
        <v>696</v>
      </c>
      <c r="C8" s="197">
        <v>43221</v>
      </c>
      <c r="D8" s="142">
        <v>43251</v>
      </c>
      <c r="E8" s="151">
        <v>8.3333333333333329E-2</v>
      </c>
      <c r="F8" s="152">
        <v>0.25</v>
      </c>
      <c r="G8" s="143">
        <v>2566</v>
      </c>
      <c r="H8" s="60"/>
    </row>
    <row r="9" spans="1:8" x14ac:dyDescent="0.25">
      <c r="B9" s="122" t="s">
        <v>697</v>
      </c>
      <c r="C9" s="197">
        <v>43252</v>
      </c>
      <c r="D9" s="142">
        <v>43281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B10" s="122" t="s">
        <v>695</v>
      </c>
      <c r="C10" s="197">
        <v>43282</v>
      </c>
      <c r="D10" s="142">
        <v>43312</v>
      </c>
      <c r="E10" s="151">
        <v>0.29166666666666669</v>
      </c>
      <c r="F10" s="152">
        <v>0.5</v>
      </c>
      <c r="G10" s="143">
        <v>1993</v>
      </c>
      <c r="H10" s="60"/>
    </row>
    <row r="11" spans="1:8" x14ac:dyDescent="0.25">
      <c r="B11" s="122" t="s">
        <v>696</v>
      </c>
      <c r="C11" s="197">
        <v>43313</v>
      </c>
      <c r="D11" s="142">
        <v>43343</v>
      </c>
      <c r="E11" s="151">
        <v>0.45833333333333331</v>
      </c>
      <c r="F11" s="152">
        <v>0.5</v>
      </c>
      <c r="G11" s="143">
        <v>1212</v>
      </c>
      <c r="H11" s="60"/>
    </row>
    <row r="12" spans="1:8" x14ac:dyDescent="0.25">
      <c r="B12" s="122" t="s">
        <v>697</v>
      </c>
      <c r="C12" s="197">
        <v>43344</v>
      </c>
      <c r="D12" s="142">
        <v>43373</v>
      </c>
      <c r="E12" s="151">
        <v>0.10416666666666667</v>
      </c>
      <c r="F12" s="152">
        <v>0.18958333333333333</v>
      </c>
      <c r="G12" s="143">
        <v>986</v>
      </c>
      <c r="H12" s="60"/>
    </row>
    <row r="13" spans="1:8" x14ac:dyDescent="0.25">
      <c r="B13" s="122" t="s">
        <v>698</v>
      </c>
      <c r="C13" s="197">
        <v>43374</v>
      </c>
      <c r="D13" s="142">
        <v>43404</v>
      </c>
      <c r="E13" s="151">
        <v>0.14583333333333334</v>
      </c>
      <c r="F13" s="152">
        <v>0.3298611111111111</v>
      </c>
      <c r="G13" s="143">
        <v>1098</v>
      </c>
      <c r="H13" s="60"/>
    </row>
    <row r="14" spans="1:8" x14ac:dyDescent="0.25">
      <c r="B14" s="122" t="s">
        <v>699</v>
      </c>
      <c r="C14" s="197">
        <v>43405</v>
      </c>
      <c r="D14" s="142">
        <v>43434</v>
      </c>
      <c r="E14" s="151">
        <v>8.3333333333333329E-2</v>
      </c>
      <c r="F14" s="152">
        <v>0.25</v>
      </c>
      <c r="G14" s="143">
        <v>1173</v>
      </c>
      <c r="H14" s="60"/>
    </row>
    <row r="15" spans="1:8" x14ac:dyDescent="0.25">
      <c r="B15" s="122" t="s">
        <v>696</v>
      </c>
      <c r="C15" s="197">
        <v>43435</v>
      </c>
      <c r="D15" s="142">
        <v>43465</v>
      </c>
      <c r="E15" s="151">
        <v>0.125</v>
      </c>
      <c r="F15" s="152">
        <v>0.25</v>
      </c>
      <c r="G15" s="143">
        <v>2654</v>
      </c>
      <c r="H15" s="60"/>
    </row>
    <row r="16" spans="1:8" ht="39" customHeight="1" x14ac:dyDescent="0.25"/>
    <row r="17" spans="1:20" s="73" customFormat="1" ht="51" customHeight="1" x14ac:dyDescent="0.2">
      <c r="A17" s="52" t="s">
        <v>593</v>
      </c>
      <c r="B17" s="54" t="s">
        <v>587</v>
      </c>
      <c r="G17" s="74"/>
      <c r="H17" s="83">
        <f t="shared" ref="H17" si="0">IF(H19="",1,0)</f>
        <v>0</v>
      </c>
      <c r="I17" s="83">
        <f t="shared" ref="I17:T17" si="1">IF(I19="",1,0)</f>
        <v>0</v>
      </c>
      <c r="J17" s="83">
        <f t="shared" si="1"/>
        <v>0</v>
      </c>
      <c r="K17" s="83">
        <f t="shared" si="1"/>
        <v>0</v>
      </c>
      <c r="L17" s="83">
        <f t="shared" si="1"/>
        <v>0</v>
      </c>
      <c r="M17" s="83">
        <f t="shared" si="1"/>
        <v>0</v>
      </c>
      <c r="N17" s="83">
        <f t="shared" si="1"/>
        <v>0</v>
      </c>
      <c r="O17" s="83">
        <f t="shared" si="1"/>
        <v>0</v>
      </c>
      <c r="P17" s="83">
        <f t="shared" si="1"/>
        <v>0</v>
      </c>
      <c r="Q17" s="83">
        <f t="shared" si="1"/>
        <v>0</v>
      </c>
      <c r="R17" s="83">
        <f t="shared" si="1"/>
        <v>0</v>
      </c>
      <c r="S17" s="83">
        <f t="shared" si="1"/>
        <v>0</v>
      </c>
      <c r="T17" s="83">
        <f t="shared" si="1"/>
        <v>0</v>
      </c>
    </row>
    <row r="18" spans="1:20" ht="21" customHeight="1" x14ac:dyDescent="0.25">
      <c r="A18" s="52" t="s">
        <v>603</v>
      </c>
      <c r="B18" s="209" t="s">
        <v>582</v>
      </c>
      <c r="C18" s="75"/>
      <c r="D18" s="75"/>
      <c r="E18" s="75"/>
      <c r="F18" s="75"/>
      <c r="G18" s="76"/>
      <c r="H18" s="61" t="s">
        <v>584</v>
      </c>
      <c r="I18" s="61" t="s">
        <v>584</v>
      </c>
      <c r="J18" s="61" t="s">
        <v>584</v>
      </c>
      <c r="K18" s="61" t="s">
        <v>584</v>
      </c>
      <c r="L18" s="61" t="s">
        <v>584</v>
      </c>
      <c r="M18" s="61" t="s">
        <v>584</v>
      </c>
      <c r="N18" s="61" t="s">
        <v>584</v>
      </c>
      <c r="O18" s="61" t="s">
        <v>584</v>
      </c>
      <c r="P18" s="61" t="s">
        <v>584</v>
      </c>
      <c r="Q18" s="61" t="s">
        <v>584</v>
      </c>
      <c r="R18" s="61" t="s">
        <v>584</v>
      </c>
      <c r="S18" s="61" t="s">
        <v>584</v>
      </c>
      <c r="T18" s="61" t="s">
        <v>584</v>
      </c>
    </row>
    <row r="19" spans="1:20" ht="15" customHeight="1" x14ac:dyDescent="0.25">
      <c r="A19" s="52" t="s">
        <v>603</v>
      </c>
      <c r="B19" s="210"/>
      <c r="C19" s="77"/>
      <c r="D19" s="77"/>
      <c r="E19" s="77"/>
      <c r="F19" s="77"/>
      <c r="G19" s="78"/>
      <c r="H19" s="181">
        <f t="array" ref="H19">IFERROR(INDEX($D$3:$D$16, MATCH(0,IF(ISBLANK($D$3:$D$16),1,COUNTIF($G19:G19, $D$3:$D$16)), 0)),"")</f>
        <v>43100</v>
      </c>
      <c r="I19" s="181">
        <f t="array" ref="I19">IFERROR(INDEX($D$3:$D$16, MATCH(0,IF(ISBLANK($D$3:$D$16),1,COUNTIF($G19:H19, $D$3:$D$16)), 0)),"")</f>
        <v>43131</v>
      </c>
      <c r="J19" s="181">
        <f t="array" ref="J19">IFERROR(INDEX($D$3:$D$16, MATCH(0,IF(ISBLANK($D$3:$D$16),1,COUNTIF($G19:I19, $D$3:$D$16)), 0)),"")</f>
        <v>43159</v>
      </c>
      <c r="K19" s="181">
        <f t="array" ref="K19">IFERROR(INDEX($D$3:$D$16, MATCH(0,IF(ISBLANK($D$3:$D$16),1,COUNTIF($G19:J19, $D$3:$D$16)), 0)),"")</f>
        <v>43190</v>
      </c>
      <c r="L19" s="181">
        <f t="array" ref="L19">IFERROR(INDEX($D$3:$D$16, MATCH(0,IF(ISBLANK($D$3:$D$16),1,COUNTIF($G19:K19, $D$3:$D$16)), 0)),"")</f>
        <v>43220</v>
      </c>
      <c r="M19" s="181">
        <f t="array" ref="M19">IFERROR(INDEX($D$3:$D$16, MATCH(0,IF(ISBLANK($D$3:$D$16),1,COUNTIF($G19:L19, $D$3:$D$16)), 0)),"")</f>
        <v>43251</v>
      </c>
      <c r="N19" s="181">
        <f t="array" ref="N19">IFERROR(INDEX($D$3:$D$16, MATCH(0,IF(ISBLANK($D$3:$D$16),1,COUNTIF($G19:M19, $D$3:$D$16)), 0)),"")</f>
        <v>43281</v>
      </c>
      <c r="O19" s="181">
        <f t="array" ref="O19">IFERROR(INDEX($D$3:$D$16, MATCH(0,IF(ISBLANK($D$3:$D$16),1,COUNTIF($G19:N19, $D$3:$D$16)), 0)),"")</f>
        <v>43312</v>
      </c>
      <c r="P19" s="181">
        <f t="array" ref="P19">IFERROR(INDEX($D$3:$D$16, MATCH(0,IF(ISBLANK($D$3:$D$16),1,COUNTIF($G19:O19, $D$3:$D$16)), 0)),"")</f>
        <v>43343</v>
      </c>
      <c r="Q19" s="181">
        <f t="array" ref="Q19">IFERROR(INDEX($D$3:$D$16, MATCH(0,IF(ISBLANK($D$3:$D$16),1,COUNTIF($G19:P19, $D$3:$D$16)), 0)),"")</f>
        <v>43373</v>
      </c>
      <c r="R19" s="181">
        <f t="array" ref="R19">IFERROR(INDEX($D$3:$D$16, MATCH(0,IF(ISBLANK($D$3:$D$16),1,COUNTIF($G19:Q19, $D$3:$D$16)), 0)),"")</f>
        <v>43404</v>
      </c>
      <c r="S19" s="181">
        <f t="array" ref="S19">IFERROR(INDEX($D$3:$D$16, MATCH(0,IF(ISBLANK($D$3:$D$16),1,COUNTIF($G19:R19, $D$3:$D$16)), 0)),"")</f>
        <v>43434</v>
      </c>
      <c r="T19" s="181">
        <f t="array" ref="T19">IFERROR(INDEX($D$3:$D$16, MATCH(0,IF(ISBLANK($D$3:$D$16),1,COUNTIF($G19:S19, $D$3:$D$16)), 0)),"")</f>
        <v>43465</v>
      </c>
    </row>
    <row r="20" spans="1:20" ht="27.75" customHeight="1" x14ac:dyDescent="0.25">
      <c r="A20" s="52" t="s">
        <v>603</v>
      </c>
      <c r="B20" s="211"/>
      <c r="C20" s="79"/>
      <c r="D20" s="79"/>
      <c r="E20" s="79"/>
      <c r="F20" s="79"/>
      <c r="G20" s="80"/>
      <c r="H20" s="121" t="s">
        <v>600</v>
      </c>
      <c r="I20" s="121" t="s">
        <v>600</v>
      </c>
      <c r="J20" s="121" t="s">
        <v>600</v>
      </c>
      <c r="K20" s="121" t="s">
        <v>600</v>
      </c>
      <c r="L20" s="121" t="s">
        <v>600</v>
      </c>
      <c r="M20" s="121" t="s">
        <v>600</v>
      </c>
      <c r="N20" s="121" t="s">
        <v>600</v>
      </c>
      <c r="O20" s="121" t="s">
        <v>600</v>
      </c>
      <c r="P20" s="121" t="s">
        <v>600</v>
      </c>
      <c r="Q20" s="121" t="s">
        <v>600</v>
      </c>
      <c r="R20" s="121" t="s">
        <v>600</v>
      </c>
      <c r="S20" s="121" t="s">
        <v>600</v>
      </c>
      <c r="T20" s="121" t="s">
        <v>600</v>
      </c>
    </row>
    <row r="21" spans="1:20" ht="15" customHeight="1" x14ac:dyDescent="0.25">
      <c r="A21" s="52">
        <f>IF(B21="",1,0)</f>
        <v>0</v>
      </c>
      <c r="B21" s="62" t="str">
        <f t="array" ref="B21">IFERROR(INDEX($B$3:$B$16, MATCH(0,IF(ISBLANK($B$3:$B$16),1,COUNTIF($B$20:B20, $B$3:$B$16)), 0)),"")</f>
        <v>Goa</v>
      </c>
      <c r="C21" s="63"/>
      <c r="D21" s="63"/>
      <c r="E21" s="63"/>
      <c r="F21" s="63"/>
      <c r="G21" s="72"/>
      <c r="H21" s="147">
        <f t="array" ref="H21">IFERROR(AVERAGE(IF($B$3:$B$16=$B21,IF($D$3:$D$16=H$19,IF($G$3:$G$16&lt;&gt;"",$G$3:$G$16)))),"")</f>
        <v>3221</v>
      </c>
      <c r="I21" s="147" t="str">
        <f t="array" ref="I21">IFERROR(AVERAGE(IF($B$3:$B$16=$B21,IF($D$3:$D$16=I$19,IF($G$3:$G$16&lt;&gt;"",$G$3:$G$16)))),"")</f>
        <v/>
      </c>
      <c r="J21" s="147" t="str">
        <f t="array" ref="J21">IFERROR(AVERAGE(IF($B$3:$B$16=$B21,IF($D$3:$D$16=J$19,IF($G$3:$G$16&lt;&gt;"",$G$3:$G$16)))),"")</f>
        <v/>
      </c>
      <c r="K21" s="147" t="str">
        <f t="array" ref="K21">IFERROR(AVERAGE(IF($B$3:$B$16=$B21,IF($D$3:$D$16=K$19,IF($G$3:$G$16&lt;&gt;"",$G$3:$G$16)))),"")</f>
        <v/>
      </c>
      <c r="L21" s="147" t="str">
        <f t="array" ref="L21">IFERROR(AVERAGE(IF($B$3:$B$16=$B21,IF($D$3:$D$16=L$19,IF($G$3:$G$16&lt;&gt;"",$G$3:$G$16)))),"")</f>
        <v/>
      </c>
      <c r="M21" s="147" t="str">
        <f t="array" ref="M21">IFERROR(AVERAGE(IF($B$3:$B$16=$B21,IF($D$3:$D$16=M$19,IF($G$3:$G$16&lt;&gt;"",$G$3:$G$16)))),"")</f>
        <v/>
      </c>
      <c r="N21" s="147" t="str">
        <f t="array" ref="N21">IFERROR(AVERAGE(IF($B$3:$B$16=$B21,IF($D$3:$D$16=N$19,IF($G$3:$G$16&lt;&gt;"",$G$3:$G$16)))),"")</f>
        <v/>
      </c>
      <c r="O21" s="147">
        <f t="array" ref="O21">IFERROR(AVERAGE(IF($B$3:$B$16=$B21,IF($D$3:$D$16=O$19,IF($G$3:$G$16&lt;&gt;"",$G$3:$G$16)))),"")</f>
        <v>1993</v>
      </c>
      <c r="P21" s="147" t="str">
        <f t="array" ref="P21">IFERROR(AVERAGE(IF($B$3:$B$16=$B21,IF($D$3:$D$16=P$19,IF($G$3:$G$16&lt;&gt;"",$G$3:$G$16)))),"")</f>
        <v/>
      </c>
      <c r="Q21" s="147" t="str">
        <f t="array" ref="Q21">IFERROR(AVERAGE(IF($B$3:$B$16=$B21,IF($D$3:$D$16=Q$19,IF($G$3:$G$16&lt;&gt;"",$G$3:$G$16)))),"")</f>
        <v/>
      </c>
      <c r="R21" s="147" t="str">
        <f t="array" ref="R21">IFERROR(AVERAGE(IF($B$3:$B$16=$B21,IF($D$3:$D$16=R$19,IF($G$3:$G$16&lt;&gt;"",$G$3:$G$16)))),"")</f>
        <v/>
      </c>
      <c r="S21" s="147" t="str">
        <f t="array" ref="S21">IFERROR(AVERAGE(IF($B$3:$B$16=$B21,IF($D$3:$D$16=S$19,IF($G$3:$G$16&lt;&gt;"",$G$3:$G$16)))),"")</f>
        <v/>
      </c>
      <c r="T21" s="147" t="str">
        <f t="array" ref="T21">IFERROR(AVERAGE(IF($B$3:$B$16=$B21,IF($D$3:$D$16=T$19,IF($G$3:$G$16&lt;&gt;"",$G$3:$G$16)))),"")</f>
        <v/>
      </c>
    </row>
    <row r="22" spans="1:20" ht="15" customHeight="1" x14ac:dyDescent="0.25">
      <c r="A22" s="52">
        <f t="shared" ref="A22" si="2">IF(B22="",1,0)</f>
        <v>0</v>
      </c>
      <c r="B22" s="62" t="str">
        <f t="array" ref="B22">IFERROR(INDEX($B$3:$B$16, MATCH(0,IF(ISBLANK($B$3:$B$16),1,COUNTIF($B$20:B21, $B$3:$B$16)), 0)),"")</f>
        <v>Hyd</v>
      </c>
      <c r="C22" s="63"/>
      <c r="D22" s="63"/>
      <c r="E22" s="63"/>
      <c r="F22" s="63"/>
      <c r="G22" s="72"/>
      <c r="H22" s="147" t="str">
        <f t="array" ref="H22">IFERROR(AVERAGE(IF($B$3:$B$16=$B22,IF($D$3:$D$16=H$19,IF($G$3:$G$16&lt;&gt;"",$G$3:$G$16)))),"")</f>
        <v/>
      </c>
      <c r="I22" s="147">
        <f t="array" ref="I22">IFERROR(AVERAGE(IF($B$3:$B$16=$B22,IF($D$3:$D$16=I$19,IF($G$3:$G$16&lt;&gt;"",$G$3:$G$16)))),"")</f>
        <v>1232</v>
      </c>
      <c r="J22" s="147" t="str">
        <f t="array" ref="J22">IFERROR(AVERAGE(IF($B$3:$B$16=$B22,IF($D$3:$D$16=J$19,IF($G$3:$G$16&lt;&gt;"",$G$3:$G$16)))),"")</f>
        <v/>
      </c>
      <c r="K22" s="147" t="str">
        <f t="array" ref="K22">IFERROR(AVERAGE(IF($B$3:$B$16=$B22,IF($D$3:$D$16=K$19,IF($G$3:$G$16&lt;&gt;"",$G$3:$G$16)))),"")</f>
        <v/>
      </c>
      <c r="L22" s="147" t="str">
        <f t="array" ref="L22">IFERROR(AVERAGE(IF($B$3:$B$16=$B22,IF($D$3:$D$16=L$19,IF($G$3:$G$16&lt;&gt;"",$G$3:$G$16)))),"")</f>
        <v/>
      </c>
      <c r="M22" s="147">
        <f t="array" ref="M22">IFERROR(AVERAGE(IF($B$3:$B$16=$B22,IF($D$3:$D$16=M$19,IF($G$3:$G$16&lt;&gt;"",$G$3:$G$16)))),"")</f>
        <v>2566</v>
      </c>
      <c r="N22" s="147" t="str">
        <f t="array" ref="N22">IFERROR(AVERAGE(IF($B$3:$B$16=$B22,IF($D$3:$D$16=N$19,IF($G$3:$G$16&lt;&gt;"",$G$3:$G$16)))),"")</f>
        <v/>
      </c>
      <c r="O22" s="147" t="str">
        <f t="array" ref="O22">IFERROR(AVERAGE(IF($B$3:$B$16=$B22,IF($D$3:$D$16=O$19,IF($G$3:$G$16&lt;&gt;"",$G$3:$G$16)))),"")</f>
        <v/>
      </c>
      <c r="P22" s="147">
        <f t="array" ref="P22">IFERROR(AVERAGE(IF($B$3:$B$16=$B22,IF($D$3:$D$16=P$19,IF($G$3:$G$16&lt;&gt;"",$G$3:$G$16)))),"")</f>
        <v>1212</v>
      </c>
      <c r="Q22" s="147" t="str">
        <f t="array" ref="Q22">IFERROR(AVERAGE(IF($B$3:$B$16=$B22,IF($D$3:$D$16=Q$19,IF($G$3:$G$16&lt;&gt;"",$G$3:$G$16)))),"")</f>
        <v/>
      </c>
      <c r="R22" s="147" t="str">
        <f t="array" ref="R22">IFERROR(AVERAGE(IF($B$3:$B$16=$B22,IF($D$3:$D$16=R$19,IF($G$3:$G$16&lt;&gt;"",$G$3:$G$16)))),"")</f>
        <v/>
      </c>
      <c r="S22" s="147" t="str">
        <f t="array" ref="S22">IFERROR(AVERAGE(IF($B$3:$B$16=$B22,IF($D$3:$D$16=S$19,IF($G$3:$G$16&lt;&gt;"",$G$3:$G$16)))),"")</f>
        <v/>
      </c>
      <c r="T22" s="147">
        <f t="array" ref="T22">IFERROR(AVERAGE(IF($B$3:$B$16=$B22,IF($D$3:$D$16=T$19,IF($G$3:$G$16&lt;&gt;"",$G$3:$G$16)))),"")</f>
        <v>2654</v>
      </c>
    </row>
    <row r="23" spans="1:20" ht="15" customHeight="1" x14ac:dyDescent="0.25">
      <c r="A23" s="52">
        <f t="shared" ref="A23:A25" si="3">IF(B23="",1,0)</f>
        <v>0</v>
      </c>
      <c r="B23" s="62" t="str">
        <f t="array" ref="B23">IFERROR(INDEX($B$3:$B$16, MATCH(0,IF(ISBLANK($B$3:$B$16),1,COUNTIF($B$20:B22, $B$3:$B$16)), 0)),"")</f>
        <v>Delhi</v>
      </c>
      <c r="C23" s="63"/>
      <c r="D23" s="63"/>
      <c r="E23" s="63"/>
      <c r="F23" s="63"/>
      <c r="G23" s="72"/>
      <c r="H23" s="147" t="str">
        <f t="array" ref="H23">IFERROR(AVERAGE(IF($B$3:$B$16=$B23,IF($D$3:$D$16=H$19,IF($G$3:$G$16&lt;&gt;"",$G$3:$G$16)))),"")</f>
        <v/>
      </c>
      <c r="I23" s="147" t="str">
        <f t="array" ref="I23">IFERROR(AVERAGE(IF($B$3:$B$16=$B23,IF($D$3:$D$16=I$19,IF($G$3:$G$16&lt;&gt;"",$G$3:$G$16)))),"")</f>
        <v/>
      </c>
      <c r="J23" s="147">
        <f t="array" ref="J23">IFERROR(AVERAGE(IF($B$3:$B$16=$B23,IF($D$3:$D$16=J$19,IF($G$3:$G$16&lt;&gt;"",$G$3:$G$16)))),"")</f>
        <v>2677</v>
      </c>
      <c r="K23" s="147" t="str">
        <f t="array" ref="K23">IFERROR(AVERAGE(IF($B$3:$B$16=$B23,IF($D$3:$D$16=K$19,IF($G$3:$G$16&lt;&gt;"",$G$3:$G$16)))),"")</f>
        <v/>
      </c>
      <c r="L23" s="147" t="str">
        <f t="array" ref="L23">IFERROR(AVERAGE(IF($B$3:$B$16=$B23,IF($D$3:$D$16=L$19,IF($G$3:$G$16&lt;&gt;"",$G$3:$G$16)))),"")</f>
        <v/>
      </c>
      <c r="M23" s="147" t="str">
        <f t="array" ref="M23">IFERROR(AVERAGE(IF($B$3:$B$16=$B23,IF($D$3:$D$16=M$19,IF($G$3:$G$16&lt;&gt;"",$G$3:$G$16)))),"")</f>
        <v/>
      </c>
      <c r="N23" s="147">
        <f t="array" ref="N23">IFERROR(AVERAGE(IF($B$3:$B$16=$B23,IF($D$3:$D$16=N$19,IF($G$3:$G$16&lt;&gt;"",$G$3:$G$16)))),"")</f>
        <v>2323</v>
      </c>
      <c r="O23" s="147" t="str">
        <f t="array" ref="O23">IFERROR(AVERAGE(IF($B$3:$B$16=$B23,IF($D$3:$D$16=O$19,IF($G$3:$G$16&lt;&gt;"",$G$3:$G$16)))),"")</f>
        <v/>
      </c>
      <c r="P23" s="147" t="str">
        <f t="array" ref="P23">IFERROR(AVERAGE(IF($B$3:$B$16=$B23,IF($D$3:$D$16=P$19,IF($G$3:$G$16&lt;&gt;"",$G$3:$G$16)))),"")</f>
        <v/>
      </c>
      <c r="Q23" s="147">
        <f t="array" ref="Q23">IFERROR(AVERAGE(IF($B$3:$B$16=$B23,IF($D$3:$D$16=Q$19,IF($G$3:$G$16&lt;&gt;"",$G$3:$G$16)))),"")</f>
        <v>986</v>
      </c>
      <c r="R23" s="147" t="str">
        <f t="array" ref="R23">IFERROR(AVERAGE(IF($B$3:$B$16=$B23,IF($D$3:$D$16=R$19,IF($G$3:$G$16&lt;&gt;"",$G$3:$G$16)))),"")</f>
        <v/>
      </c>
      <c r="S23" s="147" t="str">
        <f t="array" ref="S23">IFERROR(AVERAGE(IF($B$3:$B$16=$B23,IF($D$3:$D$16=S$19,IF($G$3:$G$16&lt;&gt;"",$G$3:$G$16)))),"")</f>
        <v/>
      </c>
      <c r="T23" s="147" t="str">
        <f t="array" ref="T23">IFERROR(AVERAGE(IF($B$3:$B$16=$B23,IF($D$3:$D$16=T$19,IF($G$3:$G$16&lt;&gt;"",$G$3:$G$16)))),"")</f>
        <v/>
      </c>
    </row>
    <row r="24" spans="1:20" ht="15" customHeight="1" x14ac:dyDescent="0.25">
      <c r="A24" s="52">
        <f t="shared" si="3"/>
        <v>0</v>
      </c>
      <c r="B24" s="62" t="str">
        <f t="array" ref="B24">IFERROR(INDEX($B$3:$B$16, MATCH(0,IF(ISBLANK($B$3:$B$16),1,COUNTIF($B$20:B23, $B$3:$B$16)), 0)),"")</f>
        <v>Banglore</v>
      </c>
      <c r="C24" s="63"/>
      <c r="D24" s="63"/>
      <c r="E24" s="63"/>
      <c r="F24" s="63"/>
      <c r="G24" s="72"/>
      <c r="H24" s="147" t="str">
        <f t="array" ref="H24">IFERROR(AVERAGE(IF($B$3:$B$16=$B24,IF($D$3:$D$16=H$19,IF($G$3:$G$16&lt;&gt;"",$G$3:$G$16)))),"")</f>
        <v/>
      </c>
      <c r="I24" s="147" t="str">
        <f t="array" ref="I24">IFERROR(AVERAGE(IF($B$3:$B$16=$B24,IF($D$3:$D$16=I$19,IF($G$3:$G$16&lt;&gt;"",$G$3:$G$16)))),"")</f>
        <v/>
      </c>
      <c r="J24" s="147" t="str">
        <f t="array" ref="J24">IFERROR(AVERAGE(IF($B$3:$B$16=$B24,IF($D$3:$D$16=J$19,IF($G$3:$G$16&lt;&gt;"",$G$3:$G$16)))),"")</f>
        <v/>
      </c>
      <c r="K24" s="147">
        <f t="array" ref="K24">IFERROR(AVERAGE(IF($B$3:$B$16=$B24,IF($D$3:$D$16=K$19,IF($G$3:$G$16&lt;&gt;"",$G$3:$G$16)))),"")</f>
        <v>2756</v>
      </c>
      <c r="L24" s="147" t="str">
        <f t="array" ref="L24">IFERROR(AVERAGE(IF($B$3:$B$16=$B24,IF($D$3:$D$16=L$19,IF($G$3:$G$16&lt;&gt;"",$G$3:$G$16)))),"")</f>
        <v/>
      </c>
      <c r="M24" s="147" t="str">
        <f t="array" ref="M24">IFERROR(AVERAGE(IF($B$3:$B$16=$B24,IF($D$3:$D$16=M$19,IF($G$3:$G$16&lt;&gt;"",$G$3:$G$16)))),"")</f>
        <v/>
      </c>
      <c r="N24" s="147" t="str">
        <f t="array" ref="N24">IFERROR(AVERAGE(IF($B$3:$B$16=$B24,IF($D$3:$D$16=N$19,IF($G$3:$G$16&lt;&gt;"",$G$3:$G$16)))),"")</f>
        <v/>
      </c>
      <c r="O24" s="147" t="str">
        <f t="array" ref="O24">IFERROR(AVERAGE(IF($B$3:$B$16=$B24,IF($D$3:$D$16=O$19,IF($G$3:$G$16&lt;&gt;"",$G$3:$G$16)))),"")</f>
        <v/>
      </c>
      <c r="P24" s="147" t="str">
        <f t="array" ref="P24">IFERROR(AVERAGE(IF($B$3:$B$16=$B24,IF($D$3:$D$16=P$19,IF($G$3:$G$16&lt;&gt;"",$G$3:$G$16)))),"")</f>
        <v/>
      </c>
      <c r="Q24" s="147" t="str">
        <f t="array" ref="Q24">IFERROR(AVERAGE(IF($B$3:$B$16=$B24,IF($D$3:$D$16=Q$19,IF($G$3:$G$16&lt;&gt;"",$G$3:$G$16)))),"")</f>
        <v/>
      </c>
      <c r="R24" s="147">
        <f t="array" ref="R24">IFERROR(AVERAGE(IF($B$3:$B$16=$B24,IF($D$3:$D$16=R$19,IF($G$3:$G$16&lt;&gt;"",$G$3:$G$16)))),"")</f>
        <v>1098</v>
      </c>
      <c r="S24" s="147" t="str">
        <f t="array" ref="S24">IFERROR(AVERAGE(IF($B$3:$B$16=$B24,IF($D$3:$D$16=S$19,IF($G$3:$G$16&lt;&gt;"",$G$3:$G$16)))),"")</f>
        <v/>
      </c>
      <c r="T24" s="147" t="str">
        <f t="array" ref="T24">IFERROR(AVERAGE(IF($B$3:$B$16=$B24,IF($D$3:$D$16=T$19,IF($G$3:$G$16&lt;&gt;"",$G$3:$G$16)))),"")</f>
        <v/>
      </c>
    </row>
    <row r="25" spans="1:20" ht="15" customHeight="1" x14ac:dyDescent="0.25">
      <c r="A25" s="52">
        <f t="shared" si="3"/>
        <v>0</v>
      </c>
      <c r="B25" s="62" t="str">
        <f t="array" ref="B25">IFERROR(INDEX($B$3:$B$16, MATCH(0,IF(ISBLANK($B$3:$B$16),1,COUNTIF($B$20:B24, $B$3:$B$16)), 0)),"")</f>
        <v>Chennai</v>
      </c>
      <c r="C25" s="63"/>
      <c r="D25" s="63"/>
      <c r="E25" s="63"/>
      <c r="F25" s="63"/>
      <c r="G25" s="72"/>
      <c r="H25" s="147" t="str">
        <f t="array" ref="H25">IFERROR(AVERAGE(IF($B$3:$B$16=$B25,IF($D$3:$D$16=H$19,IF($G$3:$G$16&lt;&gt;"",$G$3:$G$16)))),"")</f>
        <v/>
      </c>
      <c r="I25" s="147" t="str">
        <f t="array" ref="I25">IFERROR(AVERAGE(IF($B$3:$B$16=$B25,IF($D$3:$D$16=I$19,IF($G$3:$G$16&lt;&gt;"",$G$3:$G$16)))),"")</f>
        <v/>
      </c>
      <c r="J25" s="147" t="str">
        <f t="array" ref="J25">IFERROR(AVERAGE(IF($B$3:$B$16=$B25,IF($D$3:$D$16=J$19,IF($G$3:$G$16&lt;&gt;"",$G$3:$G$16)))),"")</f>
        <v/>
      </c>
      <c r="K25" s="147" t="str">
        <f t="array" ref="K25">IFERROR(AVERAGE(IF($B$3:$B$16=$B25,IF($D$3:$D$16=K$19,IF($G$3:$G$16&lt;&gt;"",$G$3:$G$16)))),"")</f>
        <v/>
      </c>
      <c r="L25" s="147">
        <f t="array" ref="L25">IFERROR(AVERAGE(IF($B$3:$B$16=$B25,IF($D$3:$D$16=L$19,IF($G$3:$G$16&lt;&gt;"",$G$3:$G$16)))),"")</f>
        <v>2577</v>
      </c>
      <c r="M25" s="147" t="str">
        <f t="array" ref="M25">IFERROR(AVERAGE(IF($B$3:$B$16=$B25,IF($D$3:$D$16=M$19,IF($G$3:$G$16&lt;&gt;"",$G$3:$G$16)))),"")</f>
        <v/>
      </c>
      <c r="N25" s="147" t="str">
        <f t="array" ref="N25">IFERROR(AVERAGE(IF($B$3:$B$16=$B25,IF($D$3:$D$16=N$19,IF($G$3:$G$16&lt;&gt;"",$G$3:$G$16)))),"")</f>
        <v/>
      </c>
      <c r="O25" s="147" t="str">
        <f t="array" ref="O25">IFERROR(AVERAGE(IF($B$3:$B$16=$B25,IF($D$3:$D$16=O$19,IF($G$3:$G$16&lt;&gt;"",$G$3:$G$16)))),"")</f>
        <v/>
      </c>
      <c r="P25" s="147" t="str">
        <f t="array" ref="P25">IFERROR(AVERAGE(IF($B$3:$B$16=$B25,IF($D$3:$D$16=P$19,IF($G$3:$G$16&lt;&gt;"",$G$3:$G$16)))),"")</f>
        <v/>
      </c>
      <c r="Q25" s="147" t="str">
        <f t="array" ref="Q25">IFERROR(AVERAGE(IF($B$3:$B$16=$B25,IF($D$3:$D$16=Q$19,IF($G$3:$G$16&lt;&gt;"",$G$3:$G$16)))),"")</f>
        <v/>
      </c>
      <c r="R25" s="147" t="str">
        <f t="array" ref="R25">IFERROR(AVERAGE(IF($B$3:$B$16=$B25,IF($D$3:$D$16=R$19,IF($G$3:$G$16&lt;&gt;"",$G$3:$G$16)))),"")</f>
        <v/>
      </c>
      <c r="S25" s="147">
        <f t="array" ref="S25">IFERROR(AVERAGE(IF($B$3:$B$16=$B25,IF($D$3:$D$16=S$19,IF($G$3:$G$16&lt;&gt;"",$G$3:$G$16)))),"")</f>
        <v>1173</v>
      </c>
      <c r="T25" s="147" t="str">
        <f t="array" ref="T25">IFERROR(AVERAGE(IF($B$3:$B$16=$B25,IF($D$3:$D$16=T$19,IF($G$3:$G$16&lt;&gt;"",$G$3:$G$16)))),"")</f>
        <v/>
      </c>
    </row>
    <row r="26" spans="1:20" ht="9" customHeight="1" x14ac:dyDescent="0.25"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</row>
    <row r="27" spans="1:20" ht="9" customHeight="1" x14ac:dyDescent="0.25">
      <c r="A27" s="52" t="s">
        <v>549</v>
      </c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</row>
    <row r="28" spans="1:20" ht="15" hidden="1" customHeight="1" x14ac:dyDescent="0.25">
      <c r="H28" s="149">
        <f t="shared" ref="H28" si="4">H19</f>
        <v>43100</v>
      </c>
      <c r="I28" s="149">
        <f t="shared" ref="I28:T28" si="5">I19</f>
        <v>43131</v>
      </c>
      <c r="J28" s="149">
        <f t="shared" si="5"/>
        <v>43159</v>
      </c>
      <c r="K28" s="149">
        <f t="shared" si="5"/>
        <v>43190</v>
      </c>
      <c r="L28" s="149">
        <f t="shared" si="5"/>
        <v>43220</v>
      </c>
      <c r="M28" s="149">
        <f t="shared" si="5"/>
        <v>43251</v>
      </c>
      <c r="N28" s="149">
        <f t="shared" si="5"/>
        <v>43281</v>
      </c>
      <c r="O28" s="149">
        <f t="shared" si="5"/>
        <v>43312</v>
      </c>
      <c r="P28" s="149">
        <f t="shared" si="5"/>
        <v>43343</v>
      </c>
      <c r="Q28" s="149">
        <f t="shared" si="5"/>
        <v>43373</v>
      </c>
      <c r="R28" s="149">
        <f t="shared" si="5"/>
        <v>43404</v>
      </c>
      <c r="S28" s="149">
        <f t="shared" si="5"/>
        <v>43434</v>
      </c>
      <c r="T28" s="149">
        <f t="shared" si="5"/>
        <v>43465</v>
      </c>
    </row>
    <row r="29" spans="1:20" ht="20.25" customHeight="1" x14ac:dyDescent="0.25">
      <c r="B29" s="69" t="s">
        <v>601</v>
      </c>
      <c r="C29" s="70"/>
      <c r="D29" s="70"/>
      <c r="E29" s="70"/>
      <c r="F29" s="70"/>
      <c r="G29" s="71"/>
      <c r="H29" s="150">
        <f t="shared" ref="H29:T29" si="6">IFERROR(MAX(H21:H27),0)</f>
        <v>3221</v>
      </c>
      <c r="I29" s="150">
        <f t="shared" si="6"/>
        <v>1232</v>
      </c>
      <c r="J29" s="150">
        <f t="shared" si="6"/>
        <v>2677</v>
      </c>
      <c r="K29" s="150">
        <f t="shared" si="6"/>
        <v>2756</v>
      </c>
      <c r="L29" s="150">
        <f t="shared" si="6"/>
        <v>2577</v>
      </c>
      <c r="M29" s="150">
        <f t="shared" si="6"/>
        <v>2566</v>
      </c>
      <c r="N29" s="150">
        <f t="shared" si="6"/>
        <v>2323</v>
      </c>
      <c r="O29" s="150">
        <f t="shared" si="6"/>
        <v>1993</v>
      </c>
      <c r="P29" s="150">
        <f t="shared" si="6"/>
        <v>1212</v>
      </c>
      <c r="Q29" s="150">
        <f t="shared" si="6"/>
        <v>986</v>
      </c>
      <c r="R29" s="150">
        <f t="shared" si="6"/>
        <v>1098</v>
      </c>
      <c r="S29" s="150">
        <f t="shared" si="6"/>
        <v>1173</v>
      </c>
      <c r="T29" s="150">
        <f t="shared" si="6"/>
        <v>2654</v>
      </c>
    </row>
    <row r="30" spans="1:20" ht="24.75" customHeight="1" x14ac:dyDescent="0.25"/>
    <row r="31" spans="1:20" ht="28.5" hidden="1" customHeight="1" x14ac:dyDescent="0.25">
      <c r="A31" s="52">
        <v>10</v>
      </c>
      <c r="B31" s="64" t="s">
        <v>589</v>
      </c>
      <c r="C31" s="64" t="s">
        <v>590</v>
      </c>
      <c r="D31" s="64" t="s">
        <v>596</v>
      </c>
      <c r="E31" s="81"/>
      <c r="F31" s="81"/>
    </row>
    <row r="32" spans="1:20" ht="15" hidden="1" customHeight="1" x14ac:dyDescent="0.25">
      <c r="A32" s="51">
        <f>IFERROR(IF(D32="",1,0),1)</f>
        <v>0</v>
      </c>
      <c r="B32" s="66">
        <f>INDEX(DatesVOC,1,E32)</f>
        <v>43100</v>
      </c>
      <c r="C32" s="66">
        <f t="shared" ref="C32" si="7">B32</f>
        <v>43100</v>
      </c>
      <c r="D32" s="67">
        <f t="array" ref="D32">HLOOKUP(B32,ReadingTableVOC,2,FALSE)</f>
        <v>3221</v>
      </c>
      <c r="E32" s="82">
        <f>IF(E31="",8,E31+1)</f>
        <v>8</v>
      </c>
      <c r="F32" s="82"/>
    </row>
    <row r="33" spans="2:3" hidden="1" x14ac:dyDescent="0.25"/>
    <row r="34" spans="2:3" ht="24" hidden="1" x14ac:dyDescent="0.25">
      <c r="B34" s="65" t="s">
        <v>586</v>
      </c>
      <c r="C34" s="65" t="s">
        <v>592</v>
      </c>
    </row>
    <row r="35" spans="2:3" hidden="1" x14ac:dyDescent="0.25">
      <c r="B35" s="68">
        <f t="array" ref="B35">SUM(IF($D$3:$D$16&lt;&gt;"",1/COUNTIF($D$3:$D$16, $D$3:$D$16), 0))</f>
        <v>13</v>
      </c>
      <c r="C35" s="68">
        <f t="array" ref="C35">SUM(IF($B$3:$B$16&lt;&gt;"",1/COUNTIF($B$3:$B$16, $B$3:$B$16), 0))</f>
        <v>5</v>
      </c>
    </row>
    <row r="36" spans="2:3" hidden="1" x14ac:dyDescent="0.25"/>
  </sheetData>
  <sheetProtection algorithmName="SHA-512" hashValue="bCuOJOrQEj6pLk9Bb/rgs2577tZ7gg+wPxYSOBkTb1cLhsZ/fCe65pF4b4wtSKDklIZPbZcB4tIhg5e0xYV/5w==" saltValue="TDKsuHSXQH7GHjlQxJb2yw==" spinCount="100000" sheet="1" objects="1" scenarios="1"/>
  <autoFilter ref="B2:G4" xr:uid="{00000000-0009-0000-0000-000007000000}"/>
  <mergeCells count="1">
    <mergeCell ref="B18:B20"/>
  </mergeCells>
  <dataValidations count="3">
    <dataValidation type="date" allowBlank="1" showInputMessage="1" showErrorMessage="1" error="Please enter a valid date in mm/dd/yyyy format." sqref="D3:D15" xr:uid="{00000000-0002-0000-0700-000000000000}">
      <formula1>1</formula1>
      <formula2>2958464</formula2>
    </dataValidation>
    <dataValidation type="time" allowBlank="1" showInputMessage="1" showErrorMessage="1" error=" Please enter a valid time  in hr:mm format." sqref="E3:E15" xr:uid="{00000000-0002-0000-0700-000001000000}">
      <formula1>0</formula1>
      <formula2>0.999988425925926</formula2>
    </dataValidation>
    <dataValidation type="time" allowBlank="1" showInputMessage="1" showErrorMessage="1" error="Please enter a valid time in hr:mm format." sqref="F3:F15" xr:uid="{00000000-0002-0000-07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J26"/>
  <sheetViews>
    <sheetView tabSelected="1"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D26" sqref="D26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603</v>
      </c>
      <c r="B1" s="1"/>
      <c r="C1" s="1"/>
      <c r="D1" s="1"/>
      <c r="E1" s="1"/>
      <c r="F1" s="1"/>
    </row>
    <row r="2" spans="1:6" x14ac:dyDescent="0.25">
      <c r="A2" s="6" t="s">
        <v>603</v>
      </c>
      <c r="B2" s="204" t="s">
        <v>568</v>
      </c>
      <c r="C2" s="212"/>
      <c r="D2" s="205"/>
      <c r="E2" s="43" t="s">
        <v>576</v>
      </c>
      <c r="F2" s="1"/>
    </row>
    <row r="3" spans="1:6" ht="15" customHeight="1" x14ac:dyDescent="0.25">
      <c r="A3" s="6" t="s">
        <v>603</v>
      </c>
      <c r="B3" s="202" t="s">
        <v>569</v>
      </c>
      <c r="C3" s="213"/>
      <c r="D3" s="203"/>
      <c r="E3" s="43" t="s">
        <v>559</v>
      </c>
      <c r="F3" s="1"/>
    </row>
    <row r="4" spans="1:6" ht="14.25" customHeight="1" x14ac:dyDescent="0.25">
      <c r="A4" s="6" t="s">
        <v>603</v>
      </c>
      <c r="B4" s="25" t="s">
        <v>570</v>
      </c>
      <c r="C4" s="26"/>
      <c r="D4" s="27"/>
      <c r="E4" s="29" t="s">
        <v>563</v>
      </c>
      <c r="F4" s="1"/>
    </row>
    <row r="5" spans="1:6" x14ac:dyDescent="0.25">
      <c r="A5" s="6" t="s">
        <v>603</v>
      </c>
      <c r="B5" s="1"/>
      <c r="C5" s="1"/>
      <c r="D5" s="1"/>
      <c r="E5" s="1"/>
      <c r="F5" s="1"/>
    </row>
    <row r="6" spans="1:6" ht="25.5" x14ac:dyDescent="0.25">
      <c r="A6" s="6">
        <v>22</v>
      </c>
      <c r="B6" s="4" t="s">
        <v>547</v>
      </c>
      <c r="C6" s="4" t="s">
        <v>548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43070</v>
      </c>
      <c r="C7" s="48">
        <v>43100</v>
      </c>
      <c r="D7" s="30">
        <v>1978</v>
      </c>
      <c r="E7" s="30">
        <v>978</v>
      </c>
      <c r="F7" s="1"/>
    </row>
    <row r="8" spans="1:6" x14ac:dyDescent="0.25">
      <c r="A8" s="6">
        <v>0</v>
      </c>
      <c r="B8" s="48">
        <v>43101</v>
      </c>
      <c r="C8" s="48">
        <v>43131</v>
      </c>
      <c r="D8" s="30">
        <v>2323</v>
      </c>
      <c r="E8" s="30">
        <v>1500.08</v>
      </c>
      <c r="F8" s="1"/>
    </row>
    <row r="9" spans="1:6" x14ac:dyDescent="0.25">
      <c r="A9" s="6">
        <v>0</v>
      </c>
      <c r="B9" s="48">
        <v>43132</v>
      </c>
      <c r="C9" s="48">
        <v>43159</v>
      </c>
      <c r="D9" s="30">
        <v>1900</v>
      </c>
      <c r="E9" s="30">
        <v>800</v>
      </c>
      <c r="F9" s="1"/>
    </row>
    <row r="10" spans="1:6" x14ac:dyDescent="0.25">
      <c r="A10" s="6">
        <v>0</v>
      </c>
      <c r="B10" s="48">
        <v>43160</v>
      </c>
      <c r="C10" s="48">
        <v>43190</v>
      </c>
      <c r="D10" s="30">
        <v>1050</v>
      </c>
      <c r="E10" s="30">
        <v>680</v>
      </c>
      <c r="F10" s="1"/>
    </row>
    <row r="11" spans="1:6" x14ac:dyDescent="0.25">
      <c r="A11" s="6">
        <v>0</v>
      </c>
      <c r="B11" s="48">
        <v>43191</v>
      </c>
      <c r="C11" s="48">
        <v>43220</v>
      </c>
      <c r="D11" s="30">
        <v>1777</v>
      </c>
      <c r="E11" s="30">
        <v>1123.22</v>
      </c>
      <c r="F11" s="1"/>
    </row>
    <row r="12" spans="1:6" x14ac:dyDescent="0.25">
      <c r="A12" s="6">
        <v>0</v>
      </c>
      <c r="B12" s="48">
        <v>43221</v>
      </c>
      <c r="C12" s="48">
        <v>43251</v>
      </c>
      <c r="D12" s="30">
        <v>1545</v>
      </c>
      <c r="E12" s="30">
        <v>700</v>
      </c>
      <c r="F12" s="1"/>
    </row>
    <row r="13" spans="1:6" x14ac:dyDescent="0.25">
      <c r="A13" s="6">
        <v>0</v>
      </c>
      <c r="B13" s="48">
        <v>43252</v>
      </c>
      <c r="C13" s="48">
        <v>43281</v>
      </c>
      <c r="D13" s="30">
        <v>2800</v>
      </c>
      <c r="E13" s="30">
        <v>2000</v>
      </c>
      <c r="F13" s="1"/>
    </row>
    <row r="14" spans="1:6" x14ac:dyDescent="0.25">
      <c r="A14" s="6">
        <v>0</v>
      </c>
      <c r="B14" s="48">
        <v>43282</v>
      </c>
      <c r="C14" s="48">
        <v>43312</v>
      </c>
      <c r="D14" s="30">
        <v>1987</v>
      </c>
      <c r="E14" s="30">
        <v>908</v>
      </c>
      <c r="F14" s="1"/>
    </row>
    <row r="15" spans="1:6" x14ac:dyDescent="0.25">
      <c r="A15" s="6">
        <v>0</v>
      </c>
      <c r="B15" s="48">
        <v>43313</v>
      </c>
      <c r="C15" s="48">
        <v>43343</v>
      </c>
      <c r="D15" s="30">
        <v>2655</v>
      </c>
      <c r="E15" s="30">
        <v>782.1</v>
      </c>
      <c r="F15" s="1"/>
    </row>
    <row r="16" spans="1:6" x14ac:dyDescent="0.25">
      <c r="A16" s="6">
        <v>0</v>
      </c>
      <c r="B16" s="48">
        <v>43344</v>
      </c>
      <c r="C16" s="48">
        <v>43373</v>
      </c>
      <c r="D16" s="30">
        <v>1782</v>
      </c>
      <c r="E16" s="30">
        <v>543</v>
      </c>
      <c r="F16" s="1"/>
    </row>
    <row r="17" spans="1:9" x14ac:dyDescent="0.25">
      <c r="A17" s="6">
        <v>0</v>
      </c>
      <c r="B17" s="48">
        <v>43374</v>
      </c>
      <c r="C17" s="48">
        <v>43404</v>
      </c>
      <c r="D17" s="30">
        <v>2200</v>
      </c>
      <c r="E17" s="30">
        <v>1109</v>
      </c>
      <c r="F17" s="1"/>
    </row>
    <row r="18" spans="1:9" x14ac:dyDescent="0.25">
      <c r="A18" s="6">
        <v>0</v>
      </c>
      <c r="B18" s="48">
        <v>43405</v>
      </c>
      <c r="C18" s="48">
        <v>43434</v>
      </c>
      <c r="D18" s="30">
        <v>1927</v>
      </c>
      <c r="E18" s="30">
        <v>999</v>
      </c>
      <c r="F18" s="1"/>
    </row>
    <row r="19" spans="1:9" x14ac:dyDescent="0.25">
      <c r="A19" s="6"/>
      <c r="B19" s="48">
        <v>43435</v>
      </c>
      <c r="C19" s="48">
        <v>43465</v>
      </c>
      <c r="D19" s="30">
        <v>2222</v>
      </c>
      <c r="E19" s="30">
        <v>1000</v>
      </c>
      <c r="F19" s="1"/>
    </row>
    <row r="20" spans="1:9" x14ac:dyDescent="0.25">
      <c r="A20" s="28"/>
      <c r="B20" s="33"/>
      <c r="C20" s="33"/>
      <c r="D20" s="36"/>
      <c r="E20" s="37"/>
      <c r="F20" s="1"/>
    </row>
    <row r="21" spans="1:9" hidden="1" x14ac:dyDescent="0.25">
      <c r="A21" s="7">
        <v>0</v>
      </c>
      <c r="B21" s="35"/>
      <c r="C21" s="35"/>
      <c r="D21" s="38"/>
      <c r="E21" s="39"/>
      <c r="F21" s="1"/>
    </row>
    <row r="22" spans="1:9" ht="25.5" customHeight="1" x14ac:dyDescent="0.25">
      <c r="A22" s="6" t="s">
        <v>549</v>
      </c>
      <c r="B22" s="34"/>
      <c r="C22" s="34"/>
      <c r="D22" s="34"/>
      <c r="E22" s="40"/>
      <c r="F22" s="1"/>
    </row>
    <row r="24" spans="1:9" x14ac:dyDescent="0.25">
      <c r="I24" s="3" t="s">
        <v>563</v>
      </c>
    </row>
    <row r="25" spans="1:9" x14ac:dyDescent="0.25">
      <c r="I25" s="3" t="s">
        <v>558</v>
      </c>
    </row>
    <row r="26" spans="1:9" x14ac:dyDescent="0.25">
      <c r="I26" s="3" t="s">
        <v>543</v>
      </c>
    </row>
  </sheetData>
  <sheetProtection algorithmName="SHA-512" hashValue="yyX64odCA70loMkA2zUZoEadOv6WdfiGAjxHjSLD0jQKKPNC2S/D2e2yqJysfvx69jF2IKq+JNqOFdjnKEihZw==" saltValue="fNaxbjhzcGvLtPIuLce5Wg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800-000000000000}">
      <formula1>newWaUnit</formula1>
    </dataValidation>
    <dataValidation allowBlank="1" showInputMessage="1" showErrorMessage="1" error="Please enter a valid date in mm/dd/yyyy format." sqref="B20:D22" xr:uid="{00000000-0002-0000-0800-000001000000}"/>
    <dataValidation type="date" allowBlank="1" showInputMessage="1" showErrorMessage="1" error="Please enter a valid date in mm/dd/yyyy format." sqref="B7:C19" xr:uid="{00000000-0002-0000-0800-000002000000}">
      <formula1>1</formula1>
      <formula2>54789</formula2>
    </dataValidation>
    <dataValidation type="decimal" allowBlank="1" showInputMessage="1" showErrorMessage="1" error="Please enter a valid reading." sqref="D7:E19" xr:uid="{00000000-0002-0000-08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72AD2-A218-4AFC-B80A-94DECAC87020}">
  <sheetPr codeName="Sheet11"/>
  <dimension ref="A1:I51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603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603</v>
      </c>
      <c r="B2" s="196" t="s">
        <v>568</v>
      </c>
      <c r="C2" s="186"/>
      <c r="D2" s="184" t="s">
        <v>701</v>
      </c>
      <c r="E2" s="1"/>
    </row>
    <row r="3" spans="1:5" x14ac:dyDescent="0.25">
      <c r="A3" s="6" t="s">
        <v>603</v>
      </c>
      <c r="B3" s="195" t="s">
        <v>688</v>
      </c>
      <c r="C3" s="187"/>
      <c r="D3" s="184" t="s">
        <v>680</v>
      </c>
      <c r="E3" s="1"/>
    </row>
    <row r="4" spans="1:5" x14ac:dyDescent="0.25">
      <c r="A4" s="6" t="s">
        <v>603</v>
      </c>
      <c r="B4" s="195" t="s">
        <v>570</v>
      </c>
      <c r="C4" s="187"/>
      <c r="D4" s="184" t="s">
        <v>528</v>
      </c>
      <c r="E4" s="1"/>
    </row>
    <row r="5" spans="1:5" x14ac:dyDescent="0.25">
      <c r="A5" s="6" t="s">
        <v>603</v>
      </c>
      <c r="B5" s="49" t="s">
        <v>689</v>
      </c>
      <c r="C5" s="188"/>
      <c r="D5" s="184"/>
      <c r="E5" s="1"/>
    </row>
    <row r="6" spans="1:5" ht="24.75" customHeight="1" x14ac:dyDescent="0.25">
      <c r="A6" s="6">
        <v>22</v>
      </c>
      <c r="B6" s="185" t="s">
        <v>547</v>
      </c>
      <c r="C6" s="185" t="s">
        <v>548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43070</v>
      </c>
      <c r="C7" s="48">
        <v>43100</v>
      </c>
      <c r="D7" s="30">
        <v>1978</v>
      </c>
      <c r="E7" s="1"/>
    </row>
    <row r="8" spans="1:5" x14ac:dyDescent="0.25">
      <c r="A8" s="6">
        <v>0</v>
      </c>
      <c r="B8" s="48">
        <v>43101</v>
      </c>
      <c r="C8" s="48">
        <v>43131</v>
      </c>
      <c r="D8" s="30">
        <v>2323</v>
      </c>
      <c r="E8" s="1"/>
    </row>
    <row r="9" spans="1:5" x14ac:dyDescent="0.25">
      <c r="A9" s="6">
        <v>0</v>
      </c>
      <c r="B9" s="48">
        <v>43132</v>
      </c>
      <c r="C9" s="48">
        <v>43159</v>
      </c>
      <c r="D9" s="30">
        <v>1900</v>
      </c>
      <c r="E9" s="1"/>
    </row>
    <row r="10" spans="1:5" x14ac:dyDescent="0.25">
      <c r="A10" s="6">
        <v>0</v>
      </c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6">
        <v>0</v>
      </c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6">
        <v>0</v>
      </c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6">
        <v>0</v>
      </c>
      <c r="B13" s="48">
        <v>43252</v>
      </c>
      <c r="C13" s="48">
        <v>43281</v>
      </c>
      <c r="D13" s="30">
        <v>2800</v>
      </c>
      <c r="E13" s="1"/>
    </row>
    <row r="14" spans="1:5" x14ac:dyDescent="0.25">
      <c r="A14" s="6">
        <v>0</v>
      </c>
      <c r="B14" s="48">
        <v>43282</v>
      </c>
      <c r="C14" s="48">
        <v>43312</v>
      </c>
      <c r="D14" s="30">
        <v>1987</v>
      </c>
      <c r="E14" s="1"/>
    </row>
    <row r="15" spans="1:5" x14ac:dyDescent="0.25">
      <c r="A15" s="6">
        <v>0</v>
      </c>
      <c r="B15" s="48">
        <v>43313</v>
      </c>
      <c r="C15" s="48">
        <v>43343</v>
      </c>
      <c r="D15" s="30">
        <v>2655</v>
      </c>
      <c r="E15" s="1"/>
    </row>
    <row r="16" spans="1:5" x14ac:dyDescent="0.25">
      <c r="A16" s="6">
        <v>0</v>
      </c>
      <c r="B16" s="48">
        <v>43344</v>
      </c>
      <c r="C16" s="48">
        <v>43373</v>
      </c>
      <c r="D16" s="30">
        <v>1782</v>
      </c>
      <c r="E16" s="1"/>
    </row>
    <row r="17" spans="1:9" x14ac:dyDescent="0.25">
      <c r="A17" s="6">
        <v>0</v>
      </c>
      <c r="B17" s="48">
        <v>43374</v>
      </c>
      <c r="C17" s="48">
        <v>43404</v>
      </c>
      <c r="D17" s="30">
        <v>2200</v>
      </c>
      <c r="E17" s="1"/>
    </row>
    <row r="18" spans="1:9" x14ac:dyDescent="0.25">
      <c r="A18" s="6">
        <v>0</v>
      </c>
      <c r="B18" s="48">
        <v>43405</v>
      </c>
      <c r="C18" s="48">
        <v>43434</v>
      </c>
      <c r="D18" s="30">
        <v>1927</v>
      </c>
      <c r="E18" s="1"/>
    </row>
    <row r="19" spans="1:9" x14ac:dyDescent="0.25">
      <c r="A19" s="6"/>
      <c r="B19" s="48">
        <v>43435</v>
      </c>
      <c r="C19" s="48">
        <v>43465</v>
      </c>
      <c r="D19" s="30">
        <v>2222</v>
      </c>
      <c r="E19" s="1"/>
    </row>
    <row r="20" spans="1:9" x14ac:dyDescent="0.25">
      <c r="A20" s="28"/>
      <c r="B20" s="33"/>
      <c r="C20" s="33"/>
      <c r="D20" s="36"/>
      <c r="E20" s="21"/>
    </row>
    <row r="21" spans="1:9" ht="6" customHeight="1" x14ac:dyDescent="0.25">
      <c r="A21" s="28"/>
      <c r="B21" s="33"/>
      <c r="C21" s="33"/>
      <c r="D21" s="36"/>
      <c r="E21" s="21"/>
      <c r="I21" s="5" t="s">
        <v>680</v>
      </c>
    </row>
    <row r="22" spans="1:9" ht="25.5" customHeight="1" x14ac:dyDescent="0.25">
      <c r="A22" s="6" t="s">
        <v>549</v>
      </c>
      <c r="B22" s="34"/>
      <c r="C22" s="34"/>
      <c r="D22" s="34"/>
      <c r="E22" s="1"/>
      <c r="I22" s="5" t="s">
        <v>681</v>
      </c>
    </row>
    <row r="23" spans="1:9" x14ac:dyDescent="0.25">
      <c r="I23" s="5" t="s">
        <v>682</v>
      </c>
    </row>
    <row r="27" spans="1:9" x14ac:dyDescent="0.25">
      <c r="H27" s="5" t="s">
        <v>528</v>
      </c>
    </row>
    <row r="28" spans="1:9" x14ac:dyDescent="0.25">
      <c r="H28" s="5" t="s">
        <v>531</v>
      </c>
    </row>
    <row r="29" spans="1:9" x14ac:dyDescent="0.25">
      <c r="H29" s="5" t="s">
        <v>550</v>
      </c>
    </row>
    <row r="30" spans="1:9" x14ac:dyDescent="0.25">
      <c r="H30" s="5" t="s">
        <v>551</v>
      </c>
    </row>
    <row r="31" spans="1:9" x14ac:dyDescent="0.25">
      <c r="H31" s="5" t="s">
        <v>525</v>
      </c>
    </row>
    <row r="32" spans="1:9" x14ac:dyDescent="0.25">
      <c r="H32" s="5" t="s">
        <v>530</v>
      </c>
    </row>
    <row r="33" spans="8:8" x14ac:dyDescent="0.25">
      <c r="H33" s="5" t="s">
        <v>545</v>
      </c>
    </row>
    <row r="34" spans="8:8" x14ac:dyDescent="0.25">
      <c r="H34" s="5" t="s">
        <v>564</v>
      </c>
    </row>
    <row r="35" spans="8:8" x14ac:dyDescent="0.25">
      <c r="H35" s="5" t="s">
        <v>527</v>
      </c>
    </row>
    <row r="36" spans="8:8" x14ac:dyDescent="0.25">
      <c r="H36" s="3" t="s">
        <v>546</v>
      </c>
    </row>
    <row r="37" spans="8:8" x14ac:dyDescent="0.25">
      <c r="H37" s="3" t="s">
        <v>565</v>
      </c>
    </row>
    <row r="38" spans="8:8" x14ac:dyDescent="0.25">
      <c r="H38" s="3" t="s">
        <v>566</v>
      </c>
    </row>
    <row r="39" spans="8:8" x14ac:dyDescent="0.25">
      <c r="H39" s="5" t="s">
        <v>683</v>
      </c>
    </row>
    <row r="40" spans="8:8" x14ac:dyDescent="0.25">
      <c r="H40" s="5" t="s">
        <v>684</v>
      </c>
    </row>
    <row r="41" spans="8:8" x14ac:dyDescent="0.25">
      <c r="H41" s="5" t="s">
        <v>678</v>
      </c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  <row r="51" spans="8:8" x14ac:dyDescent="0.25">
      <c r="H51" s="5"/>
    </row>
  </sheetData>
  <sheetProtection algorithmName="SHA-512" hashValue="Aay2zgK+y2bKfb37DkTei4y1DA7ZJ4HwwkevRx/ksGQFFPzHQxlauk3vbrQE/6tEn8QUkBuBypYXJCYaHZYB7w==" saltValue="y+wbACrSuD6EcXaEeKppvw==" spinCount="100000" sheet="1" objects="1" scenarios="1"/>
  <dataValidations count="6">
    <dataValidation type="textLength" allowBlank="1" showInputMessage="1" showErrorMessage="1" errorTitle="Data Source" error="it can be accept 40 characters._x000a_" sqref="D5" xr:uid="{DA7180EF-2009-4007-A1B4-458DEE49C796}">
      <formula1>0</formula1>
      <formula2>40</formula2>
    </dataValidation>
    <dataValidation type="decimal" allowBlank="1" showInputMessage="1" showErrorMessage="1" error="Please enter a valid reading." sqref="D7:D19" xr:uid="{182B01D3-0DD2-4A9C-9DF9-4BFC42491D7E}">
      <formula1>0</formula1>
      <formula2>9999999999</formula2>
    </dataValidation>
    <dataValidation type="date" allowBlank="1" showInputMessage="1" showErrorMessage="1" error="Please enter a valid date in mm/dd/yyyy format." sqref="B7:C19" xr:uid="{1863179E-FC1C-422E-B4C0-3A0F7CB9FB07}">
      <formula1>1</formula1>
      <formula2>73415</formula2>
    </dataValidation>
    <dataValidation allowBlank="1" showInputMessage="1" showErrorMessage="1" error="Please enter a valid date in mm/dd/yyyy format." sqref="B20:D22" xr:uid="{22BCB82E-63DC-4817-A1E0-680934E64144}"/>
    <dataValidation type="list" allowBlank="1" showInputMessage="1" showErrorMessage="1" sqref="D3" xr:uid="{4111BC3F-7B1B-4C5B-9A5B-B0D1E644AA1E}">
      <formula1>WaterDrp</formula1>
    </dataValidation>
    <dataValidation type="list" allowBlank="1" showInputMessage="1" showErrorMessage="1" error="Units cannot edit." sqref="D4" xr:uid="{8DA9F678-D422-40A6-A0A4-6005BCB25C08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1295400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B9A0E-E4A8-49DB-84F2-DB134C4C22CC}">
  <sheetPr codeName="Sheet12"/>
  <dimension ref="A1:J33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603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603</v>
      </c>
      <c r="B2" s="196" t="s">
        <v>568</v>
      </c>
      <c r="C2" s="186"/>
      <c r="D2" s="184" t="s">
        <v>700</v>
      </c>
      <c r="E2" s="1"/>
    </row>
    <row r="3" spans="1:5" x14ac:dyDescent="0.25">
      <c r="A3" s="6" t="s">
        <v>603</v>
      </c>
      <c r="B3" s="195" t="s">
        <v>688</v>
      </c>
      <c r="C3" s="187"/>
      <c r="D3" s="184" t="s">
        <v>679</v>
      </c>
      <c r="E3" s="1"/>
    </row>
    <row r="4" spans="1:5" x14ac:dyDescent="0.25">
      <c r="A4" s="6" t="s">
        <v>603</v>
      </c>
      <c r="B4" s="195" t="s">
        <v>570</v>
      </c>
      <c r="C4" s="187"/>
      <c r="D4" s="184" t="s">
        <v>533</v>
      </c>
      <c r="E4" s="1"/>
    </row>
    <row r="5" spans="1:5" x14ac:dyDescent="0.25">
      <c r="A5" s="6" t="s">
        <v>603</v>
      </c>
      <c r="B5" s="49" t="s">
        <v>689</v>
      </c>
      <c r="C5" s="188"/>
      <c r="D5" s="184"/>
      <c r="E5" s="1"/>
    </row>
    <row r="6" spans="1:5" ht="24" customHeight="1" x14ac:dyDescent="0.25">
      <c r="A6" s="6">
        <v>22</v>
      </c>
      <c r="B6" s="185" t="s">
        <v>547</v>
      </c>
      <c r="C6" s="185" t="s">
        <v>548</v>
      </c>
      <c r="D6" s="4" t="str">
        <f>CONCATENATE("Period Consumption 
","(",D4,")")</f>
        <v>Period Consumption 
(kWh)</v>
      </c>
      <c r="E6" s="1"/>
    </row>
    <row r="7" spans="1:5" x14ac:dyDescent="0.25">
      <c r="A7" s="7"/>
      <c r="B7" s="48">
        <v>43070</v>
      </c>
      <c r="C7" s="48">
        <v>43100</v>
      </c>
      <c r="D7" s="30">
        <v>1978</v>
      </c>
      <c r="E7" s="1"/>
    </row>
    <row r="8" spans="1:5" x14ac:dyDescent="0.25">
      <c r="A8" s="7">
        <v>0</v>
      </c>
      <c r="B8" s="48">
        <v>43101</v>
      </c>
      <c r="C8" s="48">
        <v>43131</v>
      </c>
      <c r="D8" s="30">
        <v>2323</v>
      </c>
      <c r="E8" s="1"/>
    </row>
    <row r="9" spans="1:5" x14ac:dyDescent="0.25">
      <c r="A9" s="7">
        <v>0</v>
      </c>
      <c r="B9" s="48">
        <v>43132</v>
      </c>
      <c r="C9" s="48">
        <v>43159</v>
      </c>
      <c r="D9" s="30">
        <v>1900</v>
      </c>
      <c r="E9" s="1"/>
    </row>
    <row r="10" spans="1:5" x14ac:dyDescent="0.25">
      <c r="A10" s="7">
        <v>0</v>
      </c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7">
        <v>0</v>
      </c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7">
        <v>0</v>
      </c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7">
        <v>0</v>
      </c>
      <c r="B13" s="48">
        <v>43252</v>
      </c>
      <c r="C13" s="48">
        <v>43281</v>
      </c>
      <c r="D13" s="30">
        <v>2800</v>
      </c>
      <c r="E13" s="1"/>
    </row>
    <row r="14" spans="1:5" x14ac:dyDescent="0.25">
      <c r="A14" s="7">
        <v>0</v>
      </c>
      <c r="B14" s="48">
        <v>43282</v>
      </c>
      <c r="C14" s="48">
        <v>43312</v>
      </c>
      <c r="D14" s="30">
        <v>1987</v>
      </c>
      <c r="E14" s="1"/>
    </row>
    <row r="15" spans="1:5" x14ac:dyDescent="0.25">
      <c r="A15" s="7">
        <v>0</v>
      </c>
      <c r="B15" s="48">
        <v>43313</v>
      </c>
      <c r="C15" s="48">
        <v>43343</v>
      </c>
      <c r="D15" s="30">
        <v>2655</v>
      </c>
      <c r="E15" s="1"/>
    </row>
    <row r="16" spans="1:5" x14ac:dyDescent="0.25">
      <c r="A16" s="7">
        <v>0</v>
      </c>
      <c r="B16" s="48">
        <v>43344</v>
      </c>
      <c r="C16" s="48">
        <v>43373</v>
      </c>
      <c r="D16" s="30">
        <v>1782</v>
      </c>
      <c r="E16" s="1"/>
    </row>
    <row r="17" spans="1:10" x14ac:dyDescent="0.25">
      <c r="A17" s="7">
        <v>0</v>
      </c>
      <c r="B17" s="48">
        <v>43374</v>
      </c>
      <c r="C17" s="48">
        <v>43404</v>
      </c>
      <c r="D17" s="30">
        <v>2200</v>
      </c>
      <c r="E17" s="1"/>
    </row>
    <row r="18" spans="1:10" x14ac:dyDescent="0.25">
      <c r="A18" s="7">
        <v>0</v>
      </c>
      <c r="B18" s="48">
        <v>43405</v>
      </c>
      <c r="C18" s="48">
        <v>43434</v>
      </c>
      <c r="D18" s="30">
        <v>1927</v>
      </c>
      <c r="E18" s="1"/>
    </row>
    <row r="19" spans="1:10" x14ac:dyDescent="0.25">
      <c r="A19" s="7"/>
      <c r="B19" s="48">
        <v>43435</v>
      </c>
      <c r="C19" s="48">
        <v>43465</v>
      </c>
      <c r="D19" s="30">
        <v>2222</v>
      </c>
      <c r="E19" s="1"/>
    </row>
    <row r="20" spans="1:10" ht="12.75" customHeight="1" x14ac:dyDescent="0.25">
      <c r="A20" s="28"/>
      <c r="B20" s="33"/>
      <c r="C20" s="33"/>
      <c r="D20" s="36"/>
      <c r="E20" s="1"/>
    </row>
    <row r="21" spans="1:10" ht="13.5" hidden="1" customHeight="1" x14ac:dyDescent="0.25">
      <c r="A21" s="6"/>
      <c r="B21" s="34"/>
      <c r="C21" s="34"/>
      <c r="D21" s="34"/>
      <c r="E21" s="1"/>
      <c r="J21" s="5" t="s">
        <v>679</v>
      </c>
    </row>
    <row r="22" spans="1:10" ht="25.5" customHeight="1" x14ac:dyDescent="0.25">
      <c r="A22" s="6" t="s">
        <v>549</v>
      </c>
      <c r="B22" s="34"/>
      <c r="C22" s="34"/>
      <c r="D22" s="34"/>
      <c r="E22" s="1"/>
      <c r="J22" s="5" t="s">
        <v>693</v>
      </c>
    </row>
    <row r="23" spans="1:10" x14ac:dyDescent="0.25">
      <c r="J23" s="5"/>
    </row>
    <row r="27" spans="1:10" x14ac:dyDescent="0.25">
      <c r="G27" s="3" t="s">
        <v>533</v>
      </c>
    </row>
    <row r="28" spans="1:10" x14ac:dyDescent="0.25">
      <c r="G28" s="3" t="s">
        <v>540</v>
      </c>
    </row>
    <row r="29" spans="1:10" x14ac:dyDescent="0.25">
      <c r="G29" s="3" t="s">
        <v>555</v>
      </c>
    </row>
    <row r="30" spans="1:10" x14ac:dyDescent="0.25">
      <c r="G30" s="3" t="s">
        <v>529</v>
      </c>
    </row>
    <row r="31" spans="1:10" x14ac:dyDescent="0.25">
      <c r="G31" s="3" t="s">
        <v>553</v>
      </c>
    </row>
    <row r="33" spans="7:7" x14ac:dyDescent="0.25">
      <c r="G33" s="3" t="s">
        <v>552</v>
      </c>
    </row>
  </sheetData>
  <sheetProtection algorithmName="SHA-512" hashValue="CyemCc44DNnITG107GJad3rglagzsaA9URAn0e9+9fIar1MwdRtLKDmH5lBYF5YIKmuktjOybe0ur50qiGN5Mg==" saltValue="0sYA7QiVt0WSxCxc5nOwYQ==" spinCount="100000" sheet="1" objects="1" scenarios="1"/>
  <dataValidations count="6">
    <dataValidation type="textLength" allowBlank="1" showInputMessage="1" showErrorMessage="1" errorTitle="Data Source" error="it can be accept 40 characters._x000a_" sqref="D5" xr:uid="{8A1BBD13-9C51-431C-BC11-08CB0F1FFC79}">
      <formula1>0</formula1>
      <formula2>40</formula2>
    </dataValidation>
    <dataValidation type="decimal" allowBlank="1" showInputMessage="1" showErrorMessage="1" error="Please enter a valid reading." sqref="D7:D19" xr:uid="{5E2EA86A-9FCC-42E4-A5E8-C77052100696}">
      <formula1>0</formula1>
      <formula2>9999999999</formula2>
    </dataValidation>
    <dataValidation type="date" allowBlank="1" showInputMessage="1" showErrorMessage="1" error="Please enter a valid date in mm/dd/yyyy format." sqref="B7:C19" xr:uid="{4FA6FD6D-0EFD-4599-A748-C352E6DCCE78}">
      <formula1>1</formula1>
      <formula2>73415</formula2>
    </dataValidation>
    <dataValidation allowBlank="1" showInputMessage="1" showErrorMessage="1" error="Please enter a valid date in mm/dd/yyyy format." sqref="B20:D22" xr:uid="{7D9D6CB1-D66D-448B-BCB5-124EC892FADE}"/>
    <dataValidation type="list" allowBlank="1" showInputMessage="1" showErrorMessage="1" sqref="D3" xr:uid="{684786A1-C1D4-4DA4-8B0C-ED0042CE6013}">
      <formula1>ElectricityDrp</formula1>
    </dataValidation>
    <dataValidation type="list" allowBlank="1" showInputMessage="1" showErrorMessage="1" error="Units cannot edit." sqref="D4" xr:uid="{D45FF0C5-1925-4AB0-AF1C-4ED8DAD2CB53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21</xdr:row>
                    <xdr:rowOff>9525</xdr:rowOff>
                  </from>
                  <to>
                    <xdr:col>2</xdr:col>
                    <xdr:colOff>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21</xdr:row>
                    <xdr:rowOff>9525</xdr:rowOff>
                  </from>
                  <to>
                    <xdr:col>2</xdr:col>
                    <xdr:colOff>1304925</xdr:colOff>
                    <xdr:row>21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73</vt:i4>
      </vt:variant>
    </vt:vector>
  </HeadingPairs>
  <TitlesOfParts>
    <vt:vector size="85" baseType="lpstr">
      <vt:lpstr>Setup</vt:lpstr>
      <vt:lpstr>base_w</vt:lpstr>
      <vt:lpstr>base_e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Water Meter via upload</vt:lpstr>
      <vt:lpstr>Energy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2018-12-12T08:56:44Z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